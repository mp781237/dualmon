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0" autoFilterDateGrouping="1"/>
  </bookViews>
  <sheets>
    <sheet name="@總表" sheetId="1" state="visible" r:id="rId1"/>
    <sheet name="VOO" sheetId="2" state="visible" r:id="rId2"/>
    <sheet name="VXUS" sheetId="3" state="visible" r:id="rId3"/>
    <sheet name="BND" sheetId="4" state="visible" r:id="rId4"/>
    <sheet name="BIL" sheetId="5" state="visible" r:id="rId5"/>
    <sheet name="VSS" sheetId="6" state="visible" r:id="rId6"/>
    <sheet name="TLT" sheetId="7" state="visible" r:id="rId7"/>
    <sheet name="VWO" sheetId="8" state="visible" r:id="rId8"/>
    <sheet name="LQD" sheetId="9" state="visible" r:id="rId9"/>
    <sheet name="IEF" sheetId="10" state="visible" r:id="rId10"/>
    <sheet name="SHY" sheetId="11" state="visible" r:id="rId11"/>
    <sheet name="QQQ" sheetId="12" state="visible" r:id="rId12"/>
  </sheets>
  <definedNames>
    <definedName name="外部資料_1" localSheetId="1" hidden="1">VOO!#REF!</definedName>
    <definedName name="外部資料_1" localSheetId="2" hidden="1">VXUS!#REF!</definedName>
    <definedName name="外部資料_1" localSheetId="3" hidden="1">BND!#REF!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m&quot;月&quot;d&quot;日&quot;"/>
    <numFmt numFmtId="166" formatCode="yyyy-mm-dd h:mm:ss"/>
  </numFmts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006100"/>
      <sz val="12"/>
      <scheme val="minor"/>
    </font>
    <font>
      <name val="Microsoft JhengHei Light"/>
      <charset val="136"/>
      <family val="2"/>
      <b val="1"/>
      <color theme="1"/>
      <sz val="12"/>
    </font>
    <font>
      <name val="Microsoft JhengHei Light"/>
      <charset val="136"/>
      <family val="2"/>
      <color theme="1"/>
      <sz val="12"/>
    </font>
    <font>
      <name val="Microsoft JhengHei Light"/>
      <charset val="136"/>
      <family val="2"/>
      <b val="1"/>
      <color rgb="FF0070C0"/>
      <sz val="12"/>
    </font>
    <font>
      <name val="Microsoft JhengHei Light"/>
      <charset val="136"/>
      <family val="2"/>
      <b val="1"/>
      <color rgb="FF92D050"/>
      <sz val="12"/>
    </font>
    <font>
      <name val="Microsoft JhengHei Light"/>
      <charset val="136"/>
      <family val="2"/>
      <b val="1"/>
      <color theme="5" tint="-0.249977111117893"/>
      <sz val="12"/>
    </font>
    <font>
      <name val="Microsoft JhengHei Light"/>
      <charset val="136"/>
      <family val="2"/>
      <b val="1"/>
      <color theme="4"/>
      <sz val="12"/>
    </font>
    <font>
      <name val="Microsoft JhengHei Light"/>
      <charset val="136"/>
      <family val="2"/>
      <color rgb="FF9C0006"/>
      <sz val="12"/>
    </font>
    <font>
      <name val="Microsoft JhengHei Light"/>
      <charset val="136"/>
      <family val="2"/>
      <b val="1"/>
      <color rgb="FF9C0006"/>
      <sz val="12"/>
    </font>
    <font>
      <name val="Microsoft JhengHei Light"/>
      <charset val="136"/>
      <family val="2"/>
      <color rgb="FF006100"/>
      <sz val="12"/>
    </font>
    <font>
      <name val="Microsoft JhengHei Light"/>
      <charset val="136"/>
      <family val="2"/>
      <b val="1"/>
      <color theme="9" tint="-0.249977111117893"/>
      <sz val="12"/>
    </font>
    <font>
      <name val="Microsoft JhengHei UI"/>
      <charset val="136"/>
      <family val="2"/>
      <color theme="1"/>
      <sz val="12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1" fillId="0" borderId="0" applyAlignment="1">
      <alignment vertical="center"/>
    </xf>
    <xf numFmtId="0" fontId="1" fillId="2" borderId="1" applyAlignment="1">
      <alignment vertical="center"/>
    </xf>
    <xf numFmtId="9" fontId="1" fillId="0" borderId="0" applyAlignment="1">
      <alignment vertical="center"/>
    </xf>
    <xf numFmtId="0" fontId="3" fillId="6" borderId="0" applyAlignment="1">
      <alignment vertical="center"/>
    </xf>
    <xf numFmtId="0" fontId="4" fillId="9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5" fillId="4" borderId="1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0" fontId="5" fillId="7" borderId="0" applyAlignment="1" pivotButton="0" quotePrefix="0" xfId="2">
      <alignment vertical="center"/>
    </xf>
    <xf numFmtId="0" fontId="6" fillId="8" borderId="0" applyAlignment="1" pivotButton="0" quotePrefix="0" xfId="0">
      <alignment vertical="center"/>
    </xf>
    <xf numFmtId="10" fontId="5" fillId="0" borderId="0" applyAlignment="1" pivotButton="0" quotePrefix="0" xfId="2">
      <alignment vertical="center"/>
    </xf>
    <xf numFmtId="0" fontId="5" fillId="8" borderId="0" applyAlignment="1" pivotButton="0" quotePrefix="0" xfId="0">
      <alignment vertical="center"/>
    </xf>
    <xf numFmtId="10" fontId="5" fillId="8" borderId="0" applyAlignment="1" pivotButton="0" quotePrefix="0" xfId="2">
      <alignment vertical="center"/>
    </xf>
    <xf numFmtId="0" fontId="11" fillId="6" borderId="0" applyAlignment="1" pivotButton="0" quotePrefix="0" xfId="3">
      <alignment vertical="center"/>
    </xf>
    <xf numFmtId="0" fontId="12" fillId="6" borderId="0" applyAlignment="1" pivotButton="0" quotePrefix="0" xfId="3">
      <alignment vertical="center"/>
    </xf>
    <xf numFmtId="10" fontId="12" fillId="6" borderId="0" applyAlignment="1" pivotButton="0" quotePrefix="0" xfId="3">
      <alignment vertical="center"/>
    </xf>
    <xf numFmtId="0" fontId="6" fillId="0" borderId="0" applyAlignment="1" pivotButton="0" quotePrefix="0" xfId="0">
      <alignment vertical="center" wrapText="1"/>
    </xf>
    <xf numFmtId="0" fontId="13" fillId="9" borderId="0" applyAlignment="1" pivotButton="0" quotePrefix="0" xfId="4">
      <alignment vertical="center"/>
    </xf>
    <xf numFmtId="10" fontId="13" fillId="9" borderId="0" applyAlignment="1" pivotButton="0" quotePrefix="0" xfId="4">
      <alignment vertical="center"/>
    </xf>
    <xf numFmtId="10" fontId="10" fillId="0" borderId="0" applyAlignment="1" pivotButton="0" quotePrefix="0" xfId="2">
      <alignment vertical="center"/>
    </xf>
    <xf numFmtId="10" fontId="5" fillId="3" borderId="0" applyAlignment="1" pivotButton="0" quotePrefix="0" xfId="2">
      <alignment vertical="center"/>
    </xf>
    <xf numFmtId="10" fontId="14" fillId="3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0" fontId="0" fillId="0" borderId="0" pivotButton="0" quotePrefix="0" xfId="0"/>
    <xf numFmtId="14" fontId="6" fillId="0" borderId="0" applyAlignment="1" pivotButton="0" quotePrefix="0" xfId="0">
      <alignment vertical="center"/>
    </xf>
    <xf numFmtId="164" fontId="5" fillId="0" borderId="0" applyAlignment="1" pivotButton="0" quotePrefix="0" xfId="2">
      <alignment vertical="center"/>
    </xf>
    <xf numFmtId="164" fontId="10" fillId="0" borderId="0" applyAlignment="1" pivotButton="0" quotePrefix="0" xfId="2">
      <alignment vertical="center"/>
    </xf>
    <xf numFmtId="165" fontId="6" fillId="0" borderId="0" applyAlignment="1" pivotButton="0" quotePrefix="0" xfId="0">
      <alignment vertical="center"/>
    </xf>
    <xf numFmtId="164" fontId="5" fillId="0" borderId="0" applyAlignment="1" pivotButton="0" quotePrefix="0" xfId="2">
      <alignment vertical="center"/>
    </xf>
    <xf numFmtId="164" fontId="10" fillId="0" borderId="0" applyAlignment="1" pivotButton="0" quotePrefix="0" xfId="2">
      <alignment vertical="center"/>
    </xf>
    <xf numFmtId="165" fontId="6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0" fillId="0" borderId="0" pivotButton="0" quotePrefix="0" xfId="0"/>
  </cellXfs>
  <cellStyles count="5">
    <cellStyle name="一般" xfId="0" builtinId="0"/>
    <cellStyle name="備註" xfId="1" builtinId="10"/>
    <cellStyle name="百分比" xfId="2" builtinId="5"/>
    <cellStyle name="壞" xfId="3" builtinId="27"/>
    <cellStyle name="好" xfId="4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tabSelected="1" topLeftCell="A65" workbookViewId="0">
      <selection activeCell="B101" sqref="B101"/>
    </sheetView>
  </sheetViews>
  <sheetFormatPr baseColWidth="8" defaultRowHeight="15.6"/>
  <cols>
    <col width="10.44140625" customWidth="1" style="2" min="1" max="1"/>
    <col width="8.88671875" customWidth="1" style="2" min="2" max="2"/>
    <col width="13.88671875" bestFit="1" customWidth="1" style="2" min="3" max="3"/>
    <col width="6.6640625" bestFit="1" customWidth="1" style="2" min="4" max="4"/>
    <col width="12" bestFit="1" customWidth="1" style="2" min="5" max="5"/>
    <col width="7.33203125" bestFit="1" customWidth="1" style="2" min="6" max="6"/>
    <col width="10.88671875" bestFit="1" customWidth="1" style="2" min="7" max="7"/>
    <col width="6.5546875" bestFit="1" customWidth="1" style="2" min="8" max="8"/>
    <col width="12.44140625" bestFit="1" customWidth="1" style="2" min="9" max="9"/>
    <col width="10.21875" customWidth="1" style="2" min="10" max="11"/>
    <col width="10" bestFit="1" customWidth="1" style="2" min="12" max="12"/>
    <col width="8.88671875" customWidth="1" style="2" min="13" max="17"/>
    <col width="13.6640625" customWidth="1" style="2" min="18" max="18"/>
    <col width="11.6640625" bestFit="1" customWidth="1" style="2" min="19" max="19"/>
    <col width="11.109375" bestFit="1" customWidth="1" style="2" min="20" max="20"/>
    <col width="9.5546875" bestFit="1" customWidth="1" style="2" min="21" max="21"/>
    <col width="11.109375" bestFit="1" customWidth="1" style="2" min="22" max="22"/>
    <col width="11.88671875" customWidth="1" style="2" min="23" max="23"/>
    <col width="13.5546875" customWidth="1" style="2" min="24" max="24"/>
    <col width="8.88671875" customWidth="1" style="2" min="25" max="25"/>
    <col width="12.33203125" bestFit="1" customWidth="1" style="2" min="26" max="26"/>
    <col width="10.21875" bestFit="1" customWidth="1" style="2" min="27" max="27"/>
    <col width="10.5546875" bestFit="1" customWidth="1" style="2" min="28" max="28"/>
    <col width="9.5546875" bestFit="1" customWidth="1" style="2" min="29" max="29"/>
    <col width="8.88671875" customWidth="1" style="2" min="30" max="42"/>
    <col width="8.88671875" customWidth="1" style="2" min="43" max="16384"/>
  </cols>
  <sheetData>
    <row r="1">
      <c r="A1" s="1" t="inlineStr">
        <is>
          <t>動能資產配置</t>
        </is>
      </c>
      <c r="B1" s="1" t="n"/>
      <c r="C1" s="1" t="inlineStr">
        <is>
          <t>py自動更新版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R1" s="2" t="inlineStr">
        <is>
          <t>動能投資原理</t>
        </is>
      </c>
      <c r="Z1" s="3" t="inlineStr">
        <is>
          <t>原版雙動能</t>
        </is>
      </c>
      <c r="AA1" s="3" t="n"/>
      <c r="AB1" s="3" t="n"/>
      <c r="AC1" s="3" t="n"/>
    </row>
    <row r="2">
      <c r="A2" s="4" t="inlineStr">
        <is>
          <t>類型</t>
        </is>
      </c>
      <c r="B2" s="4" t="inlineStr">
        <is>
          <t>timing</t>
        </is>
      </c>
      <c r="C2" s="4" t="inlineStr">
        <is>
          <t>更新日期</t>
        </is>
      </c>
      <c r="D2" s="5" t="inlineStr">
        <is>
          <t>代號</t>
        </is>
      </c>
      <c r="E2" s="6" t="inlineStr">
        <is>
          <t>期間報酬</t>
        </is>
      </c>
      <c r="F2" s="5" t="inlineStr">
        <is>
          <t>代號</t>
        </is>
      </c>
      <c r="G2" s="6" t="inlineStr">
        <is>
          <t>期間報酬</t>
        </is>
      </c>
      <c r="H2" s="5" t="inlineStr">
        <is>
          <t>代號</t>
        </is>
      </c>
      <c r="I2" s="6" t="inlineStr">
        <is>
          <t>期間報酬</t>
        </is>
      </c>
      <c r="J2" s="5" t="inlineStr">
        <is>
          <t>代號</t>
        </is>
      </c>
      <c r="K2" s="6" t="inlineStr">
        <is>
          <t>期間報酬</t>
        </is>
      </c>
      <c r="L2" s="7" t="inlineStr">
        <is>
          <t>最終標的</t>
        </is>
      </c>
      <c r="R2" s="2" t="inlineStr">
        <is>
          <t>1.資產進攻使用相對動能，盡可能買進最強勢資產</t>
        </is>
      </c>
      <c r="Z2" s="3" t="inlineStr">
        <is>
          <t>包含資產</t>
        </is>
      </c>
      <c r="AA2" s="3" t="inlineStr">
        <is>
          <t>SPY</t>
        </is>
      </c>
      <c r="AB2" s="3" t="inlineStr">
        <is>
          <t>EFA</t>
        </is>
      </c>
      <c r="AC2" s="3" t="inlineStr">
        <is>
          <t>AGG</t>
        </is>
      </c>
    </row>
    <row r="3">
      <c r="A3" s="8" t="inlineStr">
        <is>
          <t>原版雙動能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R3" s="2" t="inlineStr">
        <is>
          <t>2.資產防守使用絕對動能，確保有最低上漲</t>
        </is>
      </c>
      <c r="Z3" s="3" t="inlineStr">
        <is>
          <t>比較標準</t>
        </is>
      </c>
      <c r="AA3" s="3" t="inlineStr">
        <is>
          <t>BIL</t>
        </is>
      </c>
      <c r="AB3" s="3" t="inlineStr">
        <is>
          <t>每月底VS</t>
        </is>
      </c>
      <c r="AC3" s="3" t="inlineStr">
        <is>
          <t>SPY/EFA</t>
        </is>
      </c>
    </row>
    <row r="4">
      <c r="A4" s="4" t="inlineStr">
        <is>
          <t>股/債</t>
        </is>
      </c>
      <c r="B4" s="4" t="inlineStr">
        <is>
          <t>本期</t>
        </is>
      </c>
      <c r="C4" s="9">
        <f>VOO!A2</f>
        <v/>
      </c>
      <c r="D4" s="10" t="inlineStr">
        <is>
          <t>VOO</t>
        </is>
      </c>
      <c r="E4" s="15">
        <f>V12</f>
        <v/>
      </c>
      <c r="F4" s="24" t="inlineStr">
        <is>
          <t>VXUS</t>
        </is>
      </c>
      <c r="G4" s="15">
        <f>V13</f>
        <v/>
      </c>
      <c r="H4" s="24" t="inlineStr">
        <is>
          <t>BND</t>
        </is>
      </c>
      <c r="I4" s="15">
        <f>V14</f>
        <v/>
      </c>
      <c r="J4" s="24" t="inlineStr">
        <is>
          <t>BIL</t>
        </is>
      </c>
      <c r="K4" s="15">
        <f>V11</f>
        <v/>
      </c>
      <c r="L4" s="11">
        <f>IF(E4&lt;K4,H4,IF(E4&gt;=G4,D4,F4))</f>
        <v/>
      </c>
      <c r="Z4" s="3" t="inlineStr">
        <is>
          <t>12月漲幅</t>
        </is>
      </c>
      <c r="AA4" s="3" t="inlineStr">
        <is>
          <t>SPY&gt;BIL</t>
        </is>
      </c>
      <c r="AB4" s="3" t="inlineStr">
        <is>
          <t>SPY VS EFA</t>
        </is>
      </c>
      <c r="AC4" s="3" t="n"/>
    </row>
    <row r="5">
      <c r="A5" s="8" t="inlineStr">
        <is>
          <t>原版雙動能(拉風增強版)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Z5" s="3" t="n"/>
      <c r="AA5" s="3" t="n"/>
      <c r="AB5" s="3" t="n"/>
      <c r="AC5" s="3" t="n"/>
    </row>
    <row r="6">
      <c r="A6" s="4" t="inlineStr">
        <is>
          <t>股/債</t>
        </is>
      </c>
      <c r="B6" s="4" t="inlineStr">
        <is>
          <t>本期</t>
        </is>
      </c>
      <c r="C6" s="9">
        <f>VOO!A2</f>
        <v/>
      </c>
      <c r="D6" s="10" t="inlineStr">
        <is>
          <t>QQQ</t>
        </is>
      </c>
      <c r="E6" s="15">
        <f>V30</f>
        <v/>
      </c>
      <c r="F6" s="24" t="inlineStr">
        <is>
          <t>VXUS</t>
        </is>
      </c>
      <c r="G6" s="15">
        <f>V13</f>
        <v/>
      </c>
      <c r="H6" s="24" t="inlineStr">
        <is>
          <t>BND</t>
        </is>
      </c>
      <c r="I6" s="15">
        <f>V14</f>
        <v/>
      </c>
      <c r="J6" s="24" t="inlineStr">
        <is>
          <t>BIL</t>
        </is>
      </c>
      <c r="K6" s="15">
        <f>V11</f>
        <v/>
      </c>
      <c r="L6" s="11">
        <f>IF(AND(E6&gt;G6,E6&gt;0),D6,IF(AND(G6&gt;E6,G6&gt;0),F6,IF(I6&gt;0,H6,J6)))</f>
        <v/>
      </c>
      <c r="Z6" s="3" t="n"/>
      <c r="AA6" s="3" t="n"/>
      <c r="AB6" s="3" t="n"/>
      <c r="AC6" s="3" t="n"/>
    </row>
    <row r="7">
      <c r="A7" s="8" t="inlineStr">
        <is>
          <t>加速雙動能(防禦要考慮TLT)</t>
        </is>
      </c>
      <c r="B7" s="8" t="n"/>
      <c r="C7" s="8" t="n"/>
      <c r="D7" s="8" t="n"/>
      <c r="E7" s="26" t="inlineStr">
        <is>
          <t>動能分數</t>
        </is>
      </c>
      <c r="F7" s="25" t="n"/>
      <c r="G7" s="26" t="inlineStr">
        <is>
          <t>動能分數</t>
        </is>
      </c>
      <c r="H7" s="25" t="n"/>
      <c r="I7" s="26" t="inlineStr">
        <is>
          <t>動能分數</t>
        </is>
      </c>
      <c r="J7" s="25" t="n"/>
      <c r="K7" s="26" t="inlineStr">
        <is>
          <t>動能分數</t>
        </is>
      </c>
      <c r="L7" s="8" t="n"/>
      <c r="W7" s="2" t="inlineStr">
        <is>
          <t>VAA</t>
        </is>
      </c>
      <c r="X7" s="2" t="inlineStr">
        <is>
          <t>雙動能</t>
        </is>
      </c>
      <c r="Z7" s="3" t="n"/>
      <c r="AA7" s="3" t="inlineStr">
        <is>
          <t>SPY&lt;BIL</t>
        </is>
      </c>
      <c r="AB7" s="3" t="inlineStr">
        <is>
          <t>AGG</t>
        </is>
      </c>
      <c r="AC7" s="3" t="n"/>
    </row>
    <row r="8">
      <c r="A8" s="4" t="inlineStr">
        <is>
          <t>股/債</t>
        </is>
      </c>
      <c r="B8" s="4" t="inlineStr">
        <is>
          <t>本期</t>
        </is>
      </c>
      <c r="C8" s="9">
        <f>VOO!A2</f>
        <v/>
      </c>
      <c r="D8" s="10" t="inlineStr">
        <is>
          <t>VOO</t>
        </is>
      </c>
      <c r="E8" s="15">
        <f>X16</f>
        <v/>
      </c>
      <c r="F8" s="24" t="inlineStr">
        <is>
          <t>SCZ</t>
        </is>
      </c>
      <c r="G8" s="15">
        <f>X17</f>
        <v/>
      </c>
      <c r="H8" s="24" t="inlineStr">
        <is>
          <t>TLT</t>
        </is>
      </c>
      <c r="I8" s="15">
        <f>S18</f>
        <v/>
      </c>
      <c r="J8" s="24" t="inlineStr">
        <is>
          <t>BIL</t>
        </is>
      </c>
      <c r="K8" s="15">
        <f>S19</f>
        <v/>
      </c>
      <c r="L8" s="11">
        <f>IF(AND(G8&gt;E8,G8&gt;0),F8,IF(AND(E8&gt;G8,E8&gt;0),D8,IF(I8&gt;0,H8,J8)))</f>
        <v/>
      </c>
      <c r="R8" s="2" t="inlineStr">
        <is>
          <t>代號</t>
        </is>
      </c>
      <c r="S8" s="2" t="inlineStr">
        <is>
          <t>1月漲幅</t>
        </is>
      </c>
      <c r="T8" s="2" t="inlineStr">
        <is>
          <t>3月漲幅</t>
        </is>
      </c>
      <c r="U8" s="2" t="inlineStr">
        <is>
          <t>6月漲幅</t>
        </is>
      </c>
      <c r="V8" s="2" t="inlineStr">
        <is>
          <t>12月漲幅</t>
        </is>
      </c>
      <c r="W8" s="2" t="inlineStr">
        <is>
          <t>動能分數</t>
        </is>
      </c>
      <c r="X8" s="2" t="inlineStr">
        <is>
          <t>加速動能</t>
        </is>
      </c>
    </row>
    <row r="9">
      <c r="A9" s="8" t="inlineStr">
        <is>
          <t>騷速雙動能(加入最拉風的QQQ)</t>
        </is>
      </c>
      <c r="B9" s="8" t="n"/>
      <c r="C9" s="8" t="n"/>
      <c r="D9" s="8" t="n"/>
      <c r="E9" s="25" t="n"/>
      <c r="F9" s="25" t="n"/>
      <c r="G9" s="25" t="n"/>
      <c r="H9" s="25" t="n"/>
      <c r="I9" s="25" t="n"/>
      <c r="J9" s="25" t="n"/>
      <c r="K9" s="25" t="n"/>
      <c r="L9" s="8" t="n"/>
    </row>
    <row r="10">
      <c r="A10" s="4" t="inlineStr">
        <is>
          <t>股/債</t>
        </is>
      </c>
      <c r="B10" s="4" t="inlineStr">
        <is>
          <t>本期</t>
        </is>
      </c>
      <c r="C10" s="9">
        <f>VOO!A2</f>
        <v/>
      </c>
      <c r="D10" s="10" t="inlineStr">
        <is>
          <t>QQQ</t>
        </is>
      </c>
      <c r="E10" s="15">
        <f>X30</f>
        <v/>
      </c>
      <c r="F10" s="24" t="inlineStr">
        <is>
          <t>SCZ</t>
        </is>
      </c>
      <c r="G10" s="15">
        <f>X17</f>
        <v/>
      </c>
      <c r="H10" s="24" t="inlineStr">
        <is>
          <t>TLT</t>
        </is>
      </c>
      <c r="I10" s="15">
        <f>S18</f>
        <v/>
      </c>
      <c r="J10" s="24" t="inlineStr">
        <is>
          <t>BIL</t>
        </is>
      </c>
      <c r="K10" s="15">
        <f>S19</f>
        <v/>
      </c>
      <c r="L10" s="11">
        <f>IF(AND(E10&gt;G10,E10&gt;0),D10,IF(AND(G10&gt;E10,G10&gt;0),F10,IF(I10&gt;0,H10,J10)))</f>
        <v/>
      </c>
    </row>
    <row r="11">
      <c r="A11" s="8" t="inlineStr">
        <is>
          <t>VAA(攻擊型)</t>
        </is>
      </c>
      <c r="B11" s="8" t="n"/>
      <c r="C11" s="8" t="n"/>
      <c r="D11" s="8" t="n"/>
      <c r="E11" s="25" t="n"/>
      <c r="F11" s="25" t="n"/>
      <c r="G11" s="25" t="n"/>
      <c r="H11" s="25" t="n"/>
      <c r="I11" s="25" t="n"/>
      <c r="J11" s="25" t="n"/>
      <c r="K11" s="25" t="n"/>
      <c r="L11" s="8" t="n"/>
      <c r="R11" s="12" t="inlineStr">
        <is>
          <t>BIL</t>
        </is>
      </c>
      <c r="S11" s="13">
        <f>BIL!B3/BIL!C3-1</f>
        <v/>
      </c>
      <c r="T11" s="13">
        <f>BIL!B3/BIL!C5-1</f>
        <v/>
      </c>
      <c r="U11" s="13">
        <f>BIL!B3/BIL!C8-1</f>
        <v/>
      </c>
      <c r="V11" s="13">
        <f>BIL!C2/BIL!B13-1</f>
        <v/>
      </c>
      <c r="W11" s="4">
        <f>(S11*12+T11*4+U11*2+V11*1)</f>
        <v/>
      </c>
      <c r="X11" s="4">
        <f>(S11+T11+U11)/3</f>
        <v/>
      </c>
      <c r="Z11" s="14" t="inlineStr">
        <is>
          <t>加速雙動能</t>
        </is>
      </c>
      <c r="AA11" s="14" t="n"/>
      <c r="AB11" s="14" t="n"/>
      <c r="AC11" s="14" t="n"/>
    </row>
    <row r="12">
      <c r="A12" s="8" t="inlineStr">
        <is>
          <t>攻擊資產</t>
        </is>
      </c>
      <c r="B12" s="4" t="inlineStr">
        <is>
          <t>本期</t>
        </is>
      </c>
      <c r="C12" s="9">
        <f>VOO!A2</f>
        <v/>
      </c>
      <c r="D12" s="10" t="inlineStr">
        <is>
          <t>SPY</t>
        </is>
      </c>
      <c r="E12" s="33">
        <f>W21</f>
        <v/>
      </c>
      <c r="F12" s="34" t="inlineStr">
        <is>
          <t>EFA</t>
        </is>
      </c>
      <c r="G12" s="33">
        <f>W22</f>
        <v/>
      </c>
      <c r="H12" s="34" t="inlineStr">
        <is>
          <t>EEM</t>
        </is>
      </c>
      <c r="I12" s="33">
        <f>W23</f>
        <v/>
      </c>
      <c r="J12" s="34" t="inlineStr">
        <is>
          <t>AGG</t>
        </is>
      </c>
      <c r="K12" s="33">
        <f>W24</f>
        <v/>
      </c>
      <c r="L12" s="11">
        <f>IF(OR(E12&lt;0, G12&lt;0, I12&lt;0, K12&lt;0), A13,
   IF(E12=MAX(E12, G12, I12, K12), D12,
      IF(G12=MAX(E12, G12, I12, K12), F12,
         IF(I12=MAX(E12, G12, I12, K12), H12,
            IF(K12=MAX(E12, G12, I12, K12), J12)
         )
      )
   )
)</f>
        <v/>
      </c>
      <c r="R12" s="12" t="inlineStr">
        <is>
          <t>VOO</t>
        </is>
      </c>
      <c r="S12" s="13">
        <f>VOO!B3/VOO!C3-1</f>
        <v/>
      </c>
      <c r="T12" s="13">
        <f>VOO!B3/VOO!C5-1</f>
        <v/>
      </c>
      <c r="U12" s="13">
        <f>VOO!B3/VOO!C8-1</f>
        <v/>
      </c>
      <c r="V12" s="13">
        <f>VOO!C2/VOO!B13-1</f>
        <v/>
      </c>
      <c r="W12" s="4">
        <f>(S12*12+T12*4+U12*2+V12*1)</f>
        <v/>
      </c>
      <c r="X12" s="4">
        <f>(S12+T12+U12)/3</f>
        <v/>
      </c>
      <c r="Z12" s="14" t="inlineStr">
        <is>
          <t>包含資產</t>
        </is>
      </c>
      <c r="AA12" s="14" t="inlineStr">
        <is>
          <t>VOO</t>
        </is>
      </c>
      <c r="AB12" s="14" t="inlineStr">
        <is>
          <t>SCZ</t>
        </is>
      </c>
      <c r="AC12" s="14" t="inlineStr">
        <is>
          <t>TLT</t>
        </is>
      </c>
    </row>
    <row r="13">
      <c r="A13" s="8" t="inlineStr">
        <is>
          <t>防禦資產</t>
        </is>
      </c>
      <c r="B13" s="4" t="inlineStr">
        <is>
          <t>本期</t>
        </is>
      </c>
      <c r="C13" s="9">
        <f>VOO!A2</f>
        <v/>
      </c>
      <c r="D13" s="10" t="inlineStr">
        <is>
          <t>LQD</t>
        </is>
      </c>
      <c r="E13" s="33">
        <f>W25</f>
        <v/>
      </c>
      <c r="F13" s="34" t="inlineStr">
        <is>
          <t>IEF</t>
        </is>
      </c>
      <c r="G13" s="33">
        <f>W26</f>
        <v/>
      </c>
      <c r="H13" s="34" t="inlineStr">
        <is>
          <t>SHY</t>
        </is>
      </c>
      <c r="I13" s="33">
        <f>W27</f>
        <v/>
      </c>
      <c r="J13" s="34" t="inlineStr">
        <is>
          <t>BIL</t>
        </is>
      </c>
      <c r="K13" s="33">
        <f>W28</f>
        <v/>
      </c>
      <c r="L13" s="11">
        <f>IF(L12=A13,IF(E13=MAX(E13,G13,I13,K13),D13,IF(G13=MAX(E13,G13,I13,K13),F13,IF(I13=MAX(E13,G13,I13,K13),H13,IF(K13=MAX(E13,G13,I13,K13),J13)))),A12)</f>
        <v/>
      </c>
      <c r="R13" s="12" t="inlineStr">
        <is>
          <t>VXUS</t>
        </is>
      </c>
      <c r="S13" s="13">
        <f>VXUS!B3/VXUS!C3-1</f>
        <v/>
      </c>
      <c r="T13" s="13">
        <f>VXUS!B3/VXUS!C5-1</f>
        <v/>
      </c>
      <c r="U13" s="13">
        <f>VXUS!B3/VXUS!C8-1</f>
        <v/>
      </c>
      <c r="V13" s="13">
        <f>VXUS!C2/VXUS!B13-1</f>
        <v/>
      </c>
      <c r="W13" s="4">
        <f>(S13*12+T13*4+U13*2+V13*1)</f>
        <v/>
      </c>
      <c r="X13" s="4">
        <f>(S13+T13+U13)/3</f>
        <v/>
      </c>
      <c r="Z13" s="14" t="inlineStr">
        <is>
          <t>比較標準</t>
        </is>
      </c>
      <c r="AA13" s="14" t="inlineStr">
        <is>
          <t>1.3.6平均</t>
        </is>
      </c>
      <c r="AB13" s="14" t="inlineStr">
        <is>
          <t>VOO&gt;SCZ&gt;0→VOO</t>
        </is>
      </c>
      <c r="AC13" s="14" t="n"/>
    </row>
    <row r="14">
      <c r="R14" s="12" t="inlineStr">
        <is>
          <t>BND</t>
        </is>
      </c>
      <c r="S14" s="13" t="n">
        <v>0.01</v>
      </c>
      <c r="T14" s="13">
        <f>BND!B3/BND!C5-1</f>
        <v/>
      </c>
      <c r="U14" s="13">
        <f>BND!B3/BND!C8-1</f>
        <v/>
      </c>
      <c r="V14" s="13">
        <f>BND!C2/BND!B13-1</f>
        <v/>
      </c>
      <c r="W14" s="4">
        <f>(S14*12+T14*4+U14*2+V14*1)</f>
        <v/>
      </c>
      <c r="X14" s="4">
        <f>(S14+T14+U14)/3</f>
        <v/>
      </c>
      <c r="Z14" s="14" t="n"/>
      <c r="AA14" s="14" t="n"/>
      <c r="AB14" s="14" t="inlineStr">
        <is>
          <t>SCZ&gt;VOO&gt;0→SCZ</t>
        </is>
      </c>
      <c r="AC14" s="14" t="n"/>
    </row>
    <row r="15">
      <c r="R15" s="4" t="n"/>
      <c r="S15" s="15" t="n"/>
      <c r="T15" s="15" t="n"/>
      <c r="U15" s="15" t="n"/>
      <c r="V15" s="15" t="n"/>
      <c r="W15" s="4" t="n"/>
      <c r="X15" s="4" t="n"/>
      <c r="Z15" s="14" t="n"/>
      <c r="AA15" s="14" t="n"/>
      <c r="AB15" s="14" t="inlineStr">
        <is>
          <t>只要都&lt;0 →TLT</t>
        </is>
      </c>
      <c r="AC15" s="14" t="n"/>
    </row>
    <row r="16">
      <c r="R16" s="16" t="inlineStr">
        <is>
          <t>VOO</t>
        </is>
      </c>
      <c r="S16" s="17">
        <f>S12</f>
        <v/>
      </c>
      <c r="T16" s="17">
        <f>T12</f>
        <v/>
      </c>
      <c r="U16" s="17">
        <f>U12</f>
        <v/>
      </c>
      <c r="V16" s="17">
        <f>V12</f>
        <v/>
      </c>
      <c r="W16" s="4">
        <f>(S16*12+T16*4+U16*2+V16*1)</f>
        <v/>
      </c>
      <c r="X16" s="4">
        <f>(S16+T16+U16)/3</f>
        <v/>
      </c>
      <c r="Z16" s="14" t="inlineStr">
        <is>
          <t>加速防禦</t>
        </is>
      </c>
      <c r="AA16" s="14" t="inlineStr">
        <is>
          <t>多考慮TLT(近1月)&lt;0→現金</t>
        </is>
      </c>
      <c r="AB16" s="14" t="n"/>
      <c r="AC16" s="14" t="n"/>
    </row>
    <row r="17">
      <c r="A17" s="2" t="inlineStr">
        <is>
          <t>小記錄</t>
        </is>
      </c>
      <c r="R17" s="16" t="inlineStr">
        <is>
          <t>SCZ(VSS)</t>
        </is>
      </c>
      <c r="S17" s="17">
        <f>VSS!B3/VSS!C3-1</f>
        <v/>
      </c>
      <c r="T17" s="17">
        <f>VSS!B3/VSS!C5-1</f>
        <v/>
      </c>
      <c r="U17" s="17">
        <f>VSS!B3/VSS!C8-1</f>
        <v/>
      </c>
      <c r="V17" s="17">
        <f>VSS!C2/VSS!B13-1</f>
        <v/>
      </c>
      <c r="W17" s="4">
        <f>(S17*12+T17*4+U17*2+V17*1)</f>
        <v/>
      </c>
      <c r="X17" s="4">
        <f>(S17+T17+U17)/3</f>
        <v/>
      </c>
    </row>
    <row r="18">
      <c r="A18" s="35" t="n">
        <v>45323</v>
      </c>
      <c r="B18" s="2" t="inlineStr">
        <is>
          <t>在VAA攻擊型出現防禦資產，VAA防禦型給出LQD</t>
        </is>
      </c>
      <c r="R18" s="16" t="inlineStr">
        <is>
          <t>TLT</t>
        </is>
      </c>
      <c r="S18" s="17">
        <f>TLT!B3/TLT!C3-1</f>
        <v/>
      </c>
      <c r="T18" s="17">
        <f>TLT!B3/TLT!C5-1</f>
        <v/>
      </c>
      <c r="U18" s="17">
        <f>TLT!B3/TLT!C8-1</f>
        <v/>
      </c>
      <c r="V18" s="17">
        <f>TLT!C2/TLT!B13-1</f>
        <v/>
      </c>
      <c r="W18" s="4">
        <f>(S18*12+T18*4+U18*2+V18*1)</f>
        <v/>
      </c>
      <c r="X18" s="4">
        <f>(S18+T18+U18)/3</f>
        <v/>
      </c>
      <c r="Z18" s="18" t="inlineStr">
        <is>
          <t>VAA(攻擊型)</t>
        </is>
      </c>
      <c r="AA18" s="18" t="n"/>
      <c r="AB18" s="18" t="n"/>
      <c r="AC18" s="18" t="n"/>
    </row>
    <row r="19">
      <c r="B19" s="2" t="inlineStr">
        <is>
          <t>但在雙動能依舊是VOO為主</t>
        </is>
      </c>
      <c r="E19" s="2" t="inlineStr">
        <is>
          <t>資金流出不夠全面，新興市場偏弱這樣</t>
        </is>
      </c>
      <c r="R19" s="16" t="inlineStr">
        <is>
          <t>BLI</t>
        </is>
      </c>
      <c r="S19" s="17">
        <f>S11</f>
        <v/>
      </c>
      <c r="T19" s="17">
        <f>T11</f>
        <v/>
      </c>
      <c r="U19" s="17">
        <f>U11</f>
        <v/>
      </c>
      <c r="V19" s="17">
        <f>V11</f>
        <v/>
      </c>
      <c r="W19" s="4">
        <f>(S19*12+T19*4+U19*2+V19*1)</f>
        <v/>
      </c>
      <c r="X19" s="4">
        <f>(S19+T19+U19)/3</f>
        <v/>
      </c>
      <c r="Z19" s="18" t="inlineStr">
        <is>
          <t>比較資產</t>
        </is>
      </c>
      <c r="AA19" s="18" t="inlineStr">
        <is>
          <t>攻擊型資產</t>
        </is>
      </c>
      <c r="AB19" s="18" t="inlineStr">
        <is>
          <t>防禦型資產</t>
        </is>
      </c>
      <c r="AC19" s="18" t="n"/>
    </row>
    <row r="20">
      <c r="B20" s="2" t="inlineStr">
        <is>
          <t>多做了一個騷速雙動能，為了把QQQ擺上，之後就可以直接比較QQQ,VOO</t>
        </is>
      </c>
      <c r="R20" s="4" t="n"/>
      <c r="S20" s="15" t="n"/>
      <c r="T20" s="15" t="n"/>
      <c r="U20" s="15" t="n"/>
      <c r="V20" s="15" t="n"/>
      <c r="W20" s="4">
        <f>(S20*12+T20*4+U20*2+V20*1)</f>
        <v/>
      </c>
      <c r="X20" s="4">
        <f>(S20+T20+U20)/3</f>
        <v/>
      </c>
      <c r="Z20" s="18" t="inlineStr">
        <is>
          <t>比較標準</t>
        </is>
      </c>
      <c r="AA20" s="18" t="inlineStr">
        <is>
          <t>1.3.6.12平均</t>
        </is>
      </c>
      <c r="AB20" s="18" t="n"/>
      <c r="AC20" s="18" t="n"/>
    </row>
    <row r="21">
      <c r="R21" s="19" t="inlineStr">
        <is>
          <t>SPY(VOO)</t>
        </is>
      </c>
      <c r="S21" s="20">
        <f>S12</f>
        <v/>
      </c>
      <c r="T21" s="20">
        <f>T12</f>
        <v/>
      </c>
      <c r="U21" s="20">
        <f>U12</f>
        <v/>
      </c>
      <c r="V21" s="20">
        <f>V12</f>
        <v/>
      </c>
      <c r="W21" s="4">
        <f>(S21*12+T21*4+U21*2+V21*1)</f>
        <v/>
      </c>
      <c r="X21" s="4">
        <f>(S21+T21+U21)/3</f>
        <v/>
      </c>
      <c r="Z21" s="18" t="n"/>
      <c r="AA21" s="18" t="inlineStr">
        <is>
          <t>ALL(攻擊型)&gt;0→ALL IN最強</t>
        </is>
      </c>
      <c r="AB21" s="18" t="n"/>
      <c r="AC21" s="18" t="n"/>
    </row>
    <row r="22">
      <c r="R22" s="19" t="inlineStr">
        <is>
          <t>EFA(VXUS)</t>
        </is>
      </c>
      <c r="S22" s="20">
        <f>S13</f>
        <v/>
      </c>
      <c r="T22" s="20">
        <f>T13</f>
        <v/>
      </c>
      <c r="U22" s="20">
        <f>U13</f>
        <v/>
      </c>
      <c r="V22" s="20">
        <f>V13</f>
        <v/>
      </c>
      <c r="W22" s="4">
        <f>(S22*12+T22*4+U22*2+V22*1)</f>
        <v/>
      </c>
      <c r="X22" s="4">
        <f>(S22+T22+U22)/3</f>
        <v/>
      </c>
      <c r="Z22" s="18" t="n"/>
      <c r="AA22" s="18" t="inlineStr">
        <is>
          <t>IF NOT → ALL IN 最強防禦資產</t>
        </is>
      </c>
      <c r="AB22" s="18" t="n"/>
      <c r="AC22" s="18" t="n"/>
    </row>
    <row r="23">
      <c r="A23" s="35" t="n">
        <v>45352</v>
      </c>
      <c r="B23" s="2" t="inlineStr">
        <is>
          <t>全力看多中，怎麼看都是狂飆狀態，但是vaa攻擊型依然以防禦資產為主，有可能頭部到了</t>
        </is>
      </c>
      <c r="R23" s="19" t="inlineStr">
        <is>
          <t>EEM(VWO)</t>
        </is>
      </c>
      <c r="S23" s="20">
        <f>VWO!B3/VWO!C3-1</f>
        <v/>
      </c>
      <c r="T23" s="20">
        <f>VWO!B3/VWO!C5-1</f>
        <v/>
      </c>
      <c r="U23" s="20">
        <f>VWO!B3/VWO!C8-1</f>
        <v/>
      </c>
      <c r="V23" s="20">
        <f>VWO!C2/VWO!B13-1</f>
        <v/>
      </c>
      <c r="W23" s="4">
        <f>(S23*12+T23*4+U23*2+V23*1)</f>
        <v/>
      </c>
      <c r="X23" s="4">
        <f>(S23+T23+U23)/3</f>
        <v/>
      </c>
    </row>
    <row r="24">
      <c r="A24" s="35" t="n">
        <v>45384</v>
      </c>
      <c r="B24" s="2" t="inlineStr">
        <is>
          <t>手工爬蟲越來越順暢了…   不可以這麼慵懶，應該想辦法把它自動化</t>
        </is>
      </c>
      <c r="R24" s="19" t="inlineStr">
        <is>
          <t>AGG(BND)</t>
        </is>
      </c>
      <c r="S24" s="20">
        <f>S14</f>
        <v/>
      </c>
      <c r="T24" s="20">
        <f>T14</f>
        <v/>
      </c>
      <c r="U24" s="20">
        <f>U14</f>
        <v/>
      </c>
      <c r="V24" s="20">
        <f>V14</f>
        <v/>
      </c>
      <c r="W24" s="4">
        <f>(S24*12+T24*4+U24*2+V24*1)</f>
        <v/>
      </c>
      <c r="X24" s="4">
        <f>(S24+T24+U24)/3</f>
        <v/>
      </c>
      <c r="Z24" s="2" t="inlineStr">
        <is>
          <t>報酬回測網站</t>
        </is>
      </c>
    </row>
    <row r="25">
      <c r="B25" s="2" t="inlineStr">
        <is>
          <t>這波太猛烈，連vaa都顯示攻擊資產，確實標普500這波日K就像昨天看到那樣一路蛇上去</t>
        </is>
      </c>
      <c r="R25" s="19" t="inlineStr">
        <is>
          <t>LQD</t>
        </is>
      </c>
      <c r="S25" s="20">
        <f>LQD!B3/LQD!C3-1</f>
        <v/>
      </c>
      <c r="T25" s="20">
        <f>LQD!B3/LQD!C5-1</f>
        <v/>
      </c>
      <c r="U25" s="20">
        <f>LQD!B3/LQD!C8-1</f>
        <v/>
      </c>
      <c r="V25" s="20">
        <f>LQD!C2/LQD!B13-1</f>
        <v/>
      </c>
      <c r="W25" s="4">
        <f>(S25*12+T25*4+U25*2+V25*1)</f>
        <v/>
      </c>
      <c r="X25" s="4">
        <f>(S25+T25+U25)/3</f>
        <v/>
      </c>
      <c r="Z25" s="2" t="inlineStr">
        <is>
          <t>Portfolio Visualizer</t>
        </is>
      </c>
    </row>
    <row r="26">
      <c r="B26" s="2" t="inlineStr">
        <is>
          <t>眼睛閉著乖乖做多</t>
        </is>
      </c>
      <c r="R26" s="19" t="inlineStr">
        <is>
          <t>IEF</t>
        </is>
      </c>
      <c r="S26" s="20">
        <f>IEF!B3/IEF!C3-1</f>
        <v/>
      </c>
      <c r="T26" s="20">
        <f>IEF!B3/IEF!C5-1</f>
        <v/>
      </c>
      <c r="U26" s="20">
        <f>IEF!B3/IEF!C8-1</f>
        <v/>
      </c>
      <c r="V26" s="20">
        <f>IEF!C2/IEF!B13-1</f>
        <v/>
      </c>
      <c r="W26" s="4">
        <f>(S26*12+T26*4+U26*2+V26*1)</f>
        <v/>
      </c>
      <c r="X26" s="4">
        <f>(S26+T26+U26)/3</f>
        <v/>
      </c>
      <c r="Z26" s="2" t="inlineStr">
        <is>
          <t>Allocate Smartly</t>
        </is>
      </c>
    </row>
    <row r="27">
      <c r="B27" s="2" t="inlineStr">
        <is>
          <t>其實最詭異的是右方所有的標的，近一個月報酬全是正的</t>
        </is>
      </c>
      <c r="R27" s="19" t="inlineStr">
        <is>
          <t>SHY</t>
        </is>
      </c>
      <c r="S27" s="20">
        <f>SHY!B3/SHY!C3-1</f>
        <v/>
      </c>
      <c r="T27" s="20">
        <f>SHY!B3/SHY!C5-1</f>
        <v/>
      </c>
      <c r="U27" s="20">
        <f>SHY!B3/SHY!C8-1</f>
        <v/>
      </c>
      <c r="V27" s="20">
        <f>SHY!C2/SHY!B13-1</f>
        <v/>
      </c>
      <c r="W27" s="4">
        <f>(S27*12+T27*4+U27*2+V27*1)</f>
        <v/>
      </c>
      <c r="X27" s="4">
        <f>(S27+T27+U27)/3</f>
        <v/>
      </c>
      <c r="Z27" s="2" t="inlineStr">
        <is>
          <t>Porfoliocharts</t>
        </is>
      </c>
    </row>
    <row r="28">
      <c r="A28" s="35" t="n">
        <v>45414</v>
      </c>
      <c r="B28" s="2" t="inlineStr">
        <is>
          <t>總算看到修正，但以雙動能來說依然做多，而vaa明顯已經轉為防禦資產</t>
        </is>
      </c>
      <c r="R28" s="19" t="inlineStr">
        <is>
          <t>BIL</t>
        </is>
      </c>
      <c r="S28" s="20">
        <f>S11</f>
        <v/>
      </c>
      <c r="T28" s="20">
        <f>T11</f>
        <v/>
      </c>
      <c r="U28" s="20">
        <f>U11</f>
        <v/>
      </c>
      <c r="V28" s="20">
        <f>V11</f>
        <v/>
      </c>
      <c r="W28" s="4">
        <f>(S28*12+T28*4+U28*2+V28*1)</f>
        <v/>
      </c>
      <c r="X28" s="4">
        <f>(S28+T28+U28)/3</f>
        <v/>
      </c>
      <c r="Z28" s="2" t="inlineStr">
        <is>
          <t>investing.com</t>
        </is>
      </c>
      <c r="AB28" s="21" t="n"/>
    </row>
    <row r="29">
      <c r="B29" s="27" t="inlineStr">
        <is>
          <t>上個月剛樂觀，結果沒半個月美股全面修正，接著fed免強釋放平穩消息</t>
        </is>
      </c>
      <c r="W29" s="4">
        <f>(S29*12+T29*4+U29*2+V29*1)</f>
        <v/>
      </c>
      <c r="X29" s="4">
        <f>(S29+T29+U29)/3</f>
        <v/>
      </c>
    </row>
    <row r="30">
      <c r="B30" s="2" t="inlineStr">
        <is>
          <t>彈起來又往下這樣，財報周也快結束了，感覺沒有什麼大跌，也許接近五月底會是新的機會</t>
        </is>
      </c>
      <c r="R30" s="22" t="inlineStr">
        <is>
          <t>QQQ</t>
        </is>
      </c>
      <c r="S30" s="23">
        <f>QQQ!B3/QQQ!C3-1</f>
        <v/>
      </c>
      <c r="T30" s="23">
        <f>QQQ!B3/QQQ!C5-1</f>
        <v/>
      </c>
      <c r="U30" s="23">
        <f>QQQ!B3/QQQ!C8-1</f>
        <v/>
      </c>
      <c r="V30" s="23">
        <f>QQQ!C2/QQQ!B13-1</f>
        <v/>
      </c>
      <c r="W30" s="4">
        <f>(S30*12+T30*4+U30*2+V30*1)</f>
        <v/>
      </c>
      <c r="X30" s="4">
        <f>(S30+T30+U30)/3</f>
        <v/>
      </c>
      <c r="Z30" s="29" t="n">
        <v>45676</v>
      </c>
      <c r="AA30" s="2" t="inlineStr">
        <is>
          <t>改用python+yfinance做為資料來源</t>
        </is>
      </c>
    </row>
    <row r="31">
      <c r="B31" s="27" t="inlineStr">
        <is>
          <t>至於什麼流程自動化…  我再繼續龜縮一陣子</t>
        </is>
      </c>
      <c r="AA31" s="2" t="inlineStr">
        <is>
          <t>股價已yfinance,close no-adjusted為主</t>
        </is>
      </c>
    </row>
    <row r="32">
      <c r="A32" s="35" t="n">
        <v>45446</v>
      </c>
      <c r="B32" s="2" t="inlineStr">
        <is>
          <t>近日美股漲多回檔，但昨日6/2是nvidia步道大會，看起來nvda處在高檔很久，持續創高動能應該相對告</t>
        </is>
      </c>
    </row>
    <row r="33">
      <c r="B33" s="2" t="inlineStr">
        <is>
          <t>其他大型股基本轉弱，接著看動能狀況，除了vaa以外還是處在攻擊姿態，但是agg反轉</t>
        </is>
      </c>
    </row>
    <row r="34">
      <c r="A34" s="35" t="n">
        <v>45474</v>
      </c>
      <c r="B34" s="2" t="inlineStr">
        <is>
          <t>上半年結束了，幾乎就是整路qqq狂漲，上個月nv佈道大會後，繼續拉了一個月，直到6月最後一天終於出現吞噬K</t>
        </is>
      </c>
    </row>
    <row r="35">
      <c r="B35" s="2" t="inlineStr">
        <is>
          <t>however,從數據上看來，連tlt都正報酬了…怎麼輸…</t>
        </is>
      </c>
    </row>
    <row r="36">
      <c r="A36" s="35" t="n">
        <v>45505</v>
      </c>
      <c r="B36" s="2" t="inlineStr">
        <is>
          <t>雖然人在高雄，也懶得用EXCEL但我想應該有譜了，乖乖用googlefinance來做weekly的資料，然後讓他自己更新了</t>
        </is>
      </c>
    </row>
    <row r="37">
      <c r="B37" s="2" t="inlineStr">
        <is>
          <t>問題在於，如果進行更新，這樣所有的資料都要重改ㄝ&lt;好麻煩喔</t>
        </is>
      </c>
    </row>
    <row r="38">
      <c r="B38" s="2" t="inlineStr">
        <is>
          <t>先蔣捷論，看似這個月回檔結束，昨晚FOMC應該公布九月肯定降息</t>
        </is>
      </c>
    </row>
    <row r="39">
      <c r="B39" s="2" t="inlineStr">
        <is>
          <t>但是目前這樣應該都是偏弱勢，應該債券會比較強</t>
        </is>
      </c>
    </row>
    <row r="40">
      <c r="B40" s="2" t="inlineStr">
        <is>
          <t>8/5終於有空修正，想不到不斷下跌的情況下，還是以股票資產為買進目標，我想這是因為剛好花了一個月跌回月初，導致股票資產維持正數</t>
        </is>
      </c>
    </row>
    <row r="41">
      <c r="B41" s="2" t="inlineStr">
        <is>
          <t>但是其實債券資產也已經翻鄭了，這是很特別的現象，現在就剩下tlt全面翻正，債券殖利率一路下跌，估計會很快有個結果</t>
        </is>
      </c>
    </row>
    <row r="42">
      <c r="B42" s="2" t="inlineStr">
        <is>
          <t>最近黎巴嫩附近好像又要戰爭，新聞開始有美國五角大廈都在加班，要求人民撤離的狀況，然後什麼失業率數據也不樂觀，現在都在吵衰退</t>
        </is>
      </c>
    </row>
    <row r="43">
      <c r="B43" s="2" t="inlineStr">
        <is>
          <t>總之就是為了年底降息鋪路?</t>
        </is>
      </c>
    </row>
    <row r="44">
      <c r="A44" s="35" t="n">
        <v>45536</v>
      </c>
      <c r="B44" s="2" t="inlineStr">
        <is>
          <t>超奇怪，明明市場修正不少，為什麼到目前為止都還是強是資產在表現，我甚至開始懷疑是不是公式有問題</t>
        </is>
      </c>
    </row>
    <row r="45">
      <c r="B45" s="27" t="inlineStr">
        <is>
          <t>但檢查以後沒有問題，所以市場現在就是橫在那邊，期待十月會有什麼反應吧</t>
        </is>
      </c>
    </row>
    <row r="46">
      <c r="B46" s="2" t="inlineStr">
        <is>
          <t>畢竟這個月好像有很重要的會議?</t>
        </is>
      </c>
    </row>
    <row r="47">
      <c r="A47" s="35" t="n">
        <v>45566</v>
      </c>
      <c r="B47" s="2" t="inlineStr">
        <is>
          <t>經歷短暫的下跌，市場依舊是上漲的，目前標普創高了、科技還沒，有點輪動的意味，然而近期有以阿戰爭復燃，有些許修正</t>
        </is>
      </c>
    </row>
    <row r="48">
      <c r="B48" s="2" t="inlineStr">
        <is>
          <t>配合年底總統大選，感覺會有些東西</t>
        </is>
      </c>
    </row>
    <row r="49">
      <c r="B49" s="2" t="inlineStr">
        <is>
          <t>fed降息到來，並沒有發生什麼債券上漲的現象，甚至是下跌，但報酬率也沒變成負的，因為戰爭的關係</t>
        </is>
      </c>
    </row>
    <row r="50">
      <c r="B50" s="2" t="inlineStr">
        <is>
          <t>總之，金融市場真的很有趣，當你以為穩贏，結果利多出盡，當你以為要反轉，馬上又有突發事件</t>
        </is>
      </c>
    </row>
    <row r="51">
      <c r="B51" s="27" t="inlineStr">
        <is>
          <t>降息以後，小型股起飛，加密貨幣起飛，也看見美國以外國家起飛，尤其我大中華再次亂噴一通</t>
        </is>
      </c>
    </row>
    <row r="52">
      <c r="B52" s="2" t="inlineStr">
        <is>
          <t>也因此vaa攻擊型總算出現其他標的</t>
        </is>
      </c>
    </row>
    <row r="53">
      <c r="B53" s="2" t="inlineStr">
        <is>
          <t>但最近閱讀動能資產配置韓國作者的新書，貌似他換招了，有一些新的方法和配置組合</t>
        </is>
      </c>
    </row>
    <row r="54">
      <c r="A54" s="35" t="n">
        <v>45600</v>
      </c>
      <c r="B54" s="27" t="inlineStr">
        <is>
          <t>看來，近期震盪，vaa最敏感的終於給出防禦資產的說明與選項了，相當刺激</t>
        </is>
      </c>
    </row>
    <row r="55">
      <c r="B55" s="2" t="inlineStr">
        <is>
          <t>如果走勢在美國總統大選完沒有轉強，那預計12月就會進入全面轉保守的狀態了</t>
        </is>
      </c>
    </row>
    <row r="56">
      <c r="A56" s="35" t="n">
        <v>45628</v>
      </c>
      <c r="B56" s="2" t="inlineStr">
        <is>
          <t>感恩節過去，美股上攻，但是明顯看到前陣子靠著到瓊創高，走的步履蹣跚，VAA已竟轉為保守組合了</t>
        </is>
      </c>
    </row>
    <row r="57">
      <c r="B57" s="2" t="inlineStr">
        <is>
          <t>過去一個月非美市場表現差勁，是負的，明顯感受到資金回流</t>
        </is>
      </c>
    </row>
    <row r="58">
      <c r="B58" s="2" t="inlineStr">
        <is>
          <t>印象中小型價值在川普選上後幾天有噴發，但後來也軟調</t>
        </is>
      </c>
    </row>
    <row r="59">
      <c r="A59" s="4" t="n">
        <v>2025</v>
      </c>
    </row>
    <row r="60">
      <c r="A60" s="35" t="n">
        <v>45660</v>
      </c>
      <c r="B60" s="2" t="inlineStr">
        <is>
          <t>一年就這樣過去了，步履蹣跚的美股要翻空了嗎?</t>
        </is>
      </c>
    </row>
    <row r="61">
      <c r="B61" s="2" t="inlineStr">
        <is>
          <t>我還不確定，但在川普上任前夕配上跨年休息時段，確實就是很弱，而且NVIDIA跟TLSA都出現明顯反轉，雖說前陣子創高，但都轉弱跡象</t>
        </is>
      </c>
    </row>
    <row r="62">
      <c r="B62" s="2" t="inlineStr">
        <is>
          <t>VAA也很明確的囀保守兩個月了，比較好笑的是債券價格續跌，簡直慘烈，這到底是什麼情況</t>
        </is>
      </c>
      <c r="L62" s="2" t="inlineStr">
        <is>
          <t>VAA的評估除了SPY全部都是負報酬</t>
        </is>
      </c>
    </row>
    <row r="63">
      <c r="A63" s="35" t="n">
        <v>45676</v>
      </c>
      <c r="B63" s="2" t="inlineStr">
        <is>
          <t>動能監測新時代來臨!</t>
        </is>
      </c>
    </row>
    <row r="64">
      <c r="B64" s="2" t="inlineStr">
        <is>
          <t>python功力大增</t>
        </is>
      </c>
      <c r="D64" s="2" t="inlineStr">
        <is>
          <t>終於可以無腦抓股價了，速度又快</t>
        </is>
      </c>
      <c r="H64" s="2" t="inlineStr">
        <is>
          <t>神功大成</t>
        </is>
      </c>
    </row>
    <row r="65">
      <c r="A65" s="35" t="n">
        <v>45717</v>
      </c>
      <c r="B65" s="2" t="inlineStr">
        <is>
          <t>上個月太爽了忘記更新</t>
        </is>
      </c>
    </row>
    <row r="66">
      <c r="B66" s="2" t="inlineStr">
        <is>
          <t>這228很猛，最近川普開搞，美國各項數據都很神奇</t>
        </is>
      </c>
    </row>
    <row r="67">
      <c r="B67" s="2" t="inlineStr">
        <is>
          <t>市場產生明顯恐慌，各大指數急跌，加密貨幣也去8字頭插針</t>
        </is>
      </c>
    </row>
    <row r="68">
      <c r="B68" s="2" t="inlineStr">
        <is>
          <t>實在是很詭異，究竟是情緒失控，還是真的有問題，看見衰退嗎?</t>
        </is>
      </c>
    </row>
    <row r="69">
      <c r="B69" s="2" t="inlineStr">
        <is>
          <t>vaa直接短債</t>
        </is>
      </c>
    </row>
    <row r="70">
      <c r="B70" s="2" t="inlineStr">
        <is>
          <t>看看一月到現在，基本上就是不斷震盪，然後短債一直出現</t>
        </is>
      </c>
    </row>
    <row r="71">
      <c r="A71" s="35" t="n">
        <v>45752</v>
      </c>
      <c r="B71" s="2" t="inlineStr">
        <is>
          <t>清明時節雨紛紛，川普關稅欲斷頭</t>
        </is>
      </c>
    </row>
    <row r="72">
      <c r="B72" s="2" t="inlineStr">
        <is>
          <t>4/2大課稅，大家一起下去，理智上知道不是什麼長期的問題，但就覺得你他媽</t>
        </is>
      </c>
    </row>
    <row r="73">
      <c r="B73" s="2" t="inlineStr">
        <is>
          <t>大家短線都急跌10%，也算是有了一個可觀的修正了</t>
        </is>
      </c>
    </row>
    <row r="74">
      <c r="A74" s="35" t="n">
        <v>45781</v>
      </c>
      <c r="B74" s="2" t="inlineStr">
        <is>
          <t>4月份簡直一片狼藉，各種崩跌進20%，美股幾乎修正到年限，但總之突然又一個反轉收針，多空意見分歧，有人覺得落底</t>
        </is>
      </c>
    </row>
    <row r="75">
      <c r="B75" s="2" t="inlineStr">
        <is>
          <t>有人覺得關稅戰爭還沒解決，現在又遇到台幣升值，帳面價值各種下跌</t>
        </is>
      </c>
    </row>
    <row r="76">
      <c r="B76" s="2" t="inlineStr">
        <is>
          <t>動能上來說其實還看不出轉向，還需要繼續觀察</t>
        </is>
      </c>
    </row>
    <row r="77">
      <c r="B77" s="2" t="inlineStr">
        <is>
          <t>股票面來說是新興市場的天下，挺有趣的</t>
        </is>
      </c>
    </row>
    <row r="78">
      <c r="A78" s="35" t="n">
        <v>45839</v>
      </c>
      <c r="B78" s="2" t="inlineStr">
        <is>
          <t>六月因為在調整庫存，所以都沒有紀錄</t>
        </is>
      </c>
    </row>
    <row r="79">
      <c r="B79" s="2" t="inlineStr">
        <is>
          <t>七月已經搬遷好戶頭了，所以可以來看看，經過兩個月，市場再度復活</t>
        </is>
      </c>
    </row>
    <row r="80">
      <c r="B80" s="2" t="inlineStr">
        <is>
          <t>可惜台幣嚴重升值，導致台幣計價美股資產完全烙賽</t>
        </is>
      </c>
    </row>
    <row r="81">
      <c r="B81" s="2" t="inlineStr">
        <is>
          <t>不過單就整體市場表現，確實是新興市場拯救了世界</t>
        </is>
      </c>
    </row>
    <row r="82">
      <c r="A82" s="35" t="n">
        <v>45870</v>
      </c>
      <c r="B82" s="2" t="inlineStr">
        <is>
          <t>關稅公布在即，美股極限超車，但似乎長不太動了</t>
        </is>
      </c>
    </row>
    <row r="83">
      <c r="A83" s="35" t="n">
        <v>45902</v>
      </c>
      <c r="B83" s="2" t="inlineStr">
        <is>
          <t>出現轉折，各類股來說scz開始超車，短線動能建議改變了</t>
        </is>
      </c>
    </row>
    <row r="84">
      <c r="B84" s="2" t="inlineStr">
        <is>
          <t>最近確實也發現中國方面的漲幅有點厲害</t>
        </is>
      </c>
    </row>
    <row r="85">
      <c r="B85" s="2" t="inlineStr">
        <is>
          <t>例如vxus, vss之類的</t>
        </is>
      </c>
    </row>
    <row r="86">
      <c r="A86" s="35" t="n">
        <v>45936</v>
      </c>
      <c r="B86" s="27" t="inlineStr">
        <is>
          <t>慢了一周，但總之看起來新興市場小型股因為降息開始起飛，然後qqq依然維持漲速</t>
        </is>
      </c>
    </row>
    <row r="87">
      <c r="B87" s="2" t="inlineStr">
        <is>
          <t>所以在雙棟能加強下，qqq是比VSS強勢</t>
        </is>
      </c>
    </row>
    <row r="89">
      <c r="A89" s="35" t="n">
        <v>46002</v>
      </c>
      <c r="B89" s="2" t="inlineStr">
        <is>
          <t>混了一個多月，終於又開啟，發現現在竟然是非美市場的天下</t>
        </is>
      </c>
    </row>
    <row r="92">
      <c r="A92" s="2" t="n">
        <v>2026</v>
      </c>
    </row>
    <row r="93">
      <c r="A93" s="2" t="n">
        <v>104</v>
      </c>
      <c r="B93" s="2" t="inlineStr">
        <is>
          <t>OMGOMG泰神啦，2026，簡直不要太瘋狂，創高簡直就是標配，VXUS成為動能第一名</t>
        </is>
      </c>
    </row>
    <row r="94">
      <c r="A94" s="35" t="n">
        <v>46055</v>
      </c>
      <c r="B94" s="2" t="inlineStr">
        <is>
          <t>這一個月最猛的是貴金屬，股票基本上就是盤整，相當離譜，目前看來依然是vxus第一</t>
        </is>
      </c>
    </row>
    <row r="95">
      <c r="B95" s="2" t="inlineStr">
        <is>
          <t>記憶體什麼的很強，但在一月底的時候發生貴金屬大幅回檔，金銀銅、甚至比特必也破底</t>
        </is>
      </c>
    </row>
    <row r="96">
      <c r="B96" s="2" t="inlineStr">
        <is>
          <t>但是並沒有看到美股下跌，至少目前沒有，不知道後續怎麼走</t>
        </is>
      </c>
    </row>
    <row r="97">
      <c r="A97" s="35" t="n">
        <v>46084</v>
      </c>
      <c r="B97" s="2" t="inlineStr">
        <is>
          <t>整題而言，現在完全是飛美市場的天下</t>
        </is>
      </c>
    </row>
    <row r="98">
      <c r="B98" s="2" t="inlineStr">
        <is>
          <t>美股橫盤很久，亞洲四小龍簡直噴射，都創很高很高很高…</t>
        </is>
      </c>
    </row>
    <row r="99">
      <c r="B99" s="2" t="inlineStr">
        <is>
          <t>只能說活久見了，現階段川普又在攻打伊朗，黃金原油居高不下，新興市場也是拉一波後修正整理中</t>
        </is>
      </c>
    </row>
    <row r="100">
      <c r="B100" s="2" t="inlineStr">
        <is>
          <t>但美股確實低了又低，小心RR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B13" sqref="B13"/>
    </sheetView>
  </sheetViews>
  <sheetFormatPr baseColWidth="8" defaultColWidth="16.5546875" defaultRowHeight="16.2"/>
  <cols>
    <col width="13.44140625" bestFit="1" customWidth="1" style="28" min="1" max="1"/>
    <col width="8.109375" bestFit="1" customWidth="1" style="28" min="2" max="5"/>
    <col width="10.109375" bestFit="1" customWidth="1" style="28" min="6" max="6"/>
    <col width="11.33203125" bestFit="1" customWidth="1" style="28" min="7" max="7"/>
    <col width="15.6640625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700.8599853515625</v>
      </c>
      <c r="C2" s="0" t="n">
        <v>700.8599853515625</v>
      </c>
      <c r="D2" s="0" t="n">
        <v>700.8599853515625</v>
      </c>
      <c r="E2" s="0" t="n">
        <v>700.8599853515625</v>
      </c>
      <c r="F2" s="0" t="inlineStr"/>
      <c r="G2" s="0" t="inlineStr"/>
    </row>
    <row r="3" ht="19.2" customHeight="1" s="28">
      <c r="A3" s="36" t="n">
        <v>46235</v>
      </c>
      <c r="B3" s="0" t="n">
        <v>703.0821533203125</v>
      </c>
      <c r="C3" s="0" t="n">
        <v>703.0821533203125</v>
      </c>
      <c r="D3" s="0" t="n">
        <v>703.0821533203125</v>
      </c>
      <c r="E3" s="0" t="n">
        <v>703.0821533203125</v>
      </c>
      <c r="F3" s="0" t="inlineStr"/>
      <c r="G3" s="0" t="inlineStr"/>
    </row>
    <row r="4" ht="19.2" customHeight="1" s="28">
      <c r="A4" s="36" t="n">
        <v>46204</v>
      </c>
      <c r="B4" s="0" t="n">
        <v>684.8889770507812</v>
      </c>
      <c r="C4" s="0" t="n">
        <v>684.8889770507812</v>
      </c>
      <c r="D4" s="0" t="n">
        <v>684.8889770507812</v>
      </c>
      <c r="E4" s="0" t="n">
        <v>684.8889770507812</v>
      </c>
      <c r="F4" s="0" t="inlineStr"/>
      <c r="G4" s="0" t="inlineStr"/>
    </row>
    <row r="5" ht="19.2" customHeight="1" s="28">
      <c r="A5" s="36" t="n">
        <v>46174</v>
      </c>
      <c r="B5" s="0" t="n">
        <v>685.0485229492188</v>
      </c>
      <c r="C5" s="0" t="n">
        <v>685.0485229492188</v>
      </c>
      <c r="D5" s="0" t="n">
        <v>685.0485229492188</v>
      </c>
      <c r="E5" s="0" t="n">
        <v>685.0485229492188</v>
      </c>
      <c r="F5" s="0" t="inlineStr"/>
      <c r="G5" s="0" t="inlineStr"/>
    </row>
    <row r="6" ht="19.2" customHeight="1" s="28">
      <c r="A6" s="36" t="n">
        <v>46143</v>
      </c>
      <c r="B6" s="0" t="n">
        <v>691.6919555664062</v>
      </c>
      <c r="C6" s="0" t="n">
        <v>691.6919555664062</v>
      </c>
      <c r="D6" s="0" t="n">
        <v>691.6919555664062</v>
      </c>
      <c r="E6" s="0" t="n">
        <v>691.6919555664062</v>
      </c>
      <c r="F6" s="0" t="inlineStr"/>
      <c r="G6" s="0" t="inlineStr"/>
    </row>
    <row r="7" ht="19.2" customHeight="1" s="28">
      <c r="A7" s="36" t="n">
        <v>46113</v>
      </c>
      <c r="B7" s="0" t="n">
        <v>656.97265625</v>
      </c>
      <c r="C7" s="0" t="n">
        <v>656.97265625</v>
      </c>
      <c r="D7" s="0" t="n">
        <v>656.97265625</v>
      </c>
      <c r="E7" s="0" t="n">
        <v>656.97265625</v>
      </c>
      <c r="F7" s="0" t="inlineStr"/>
      <c r="G7" s="0" t="inlineStr"/>
    </row>
    <row r="8" ht="19.2" customHeight="1" s="28">
      <c r="A8" s="36" t="n">
        <v>46082</v>
      </c>
      <c r="B8" s="0" t="n">
        <v>594.286865234375</v>
      </c>
      <c r="C8" s="0" t="n">
        <v>594.286865234375</v>
      </c>
      <c r="D8" s="0" t="n">
        <v>594.286865234375</v>
      </c>
      <c r="E8" s="0" t="n">
        <v>594.286865234375</v>
      </c>
      <c r="F8" s="0" t="inlineStr"/>
      <c r="G8" s="0" t="inlineStr"/>
    </row>
    <row r="9" ht="19.2" customHeight="1" s="28">
      <c r="A9" s="36" t="n">
        <v>46054</v>
      </c>
      <c r="B9" s="0" t="n">
        <v>625.619140625</v>
      </c>
      <c r="C9" s="0" t="n">
        <v>625.619140625</v>
      </c>
      <c r="D9" s="0" t="n">
        <v>625.619140625</v>
      </c>
      <c r="E9" s="0" t="n">
        <v>625.619140625</v>
      </c>
      <c r="F9" s="0" t="inlineStr"/>
      <c r="G9" s="0" t="inlineStr"/>
    </row>
    <row r="10" ht="19.2" customHeight="1" s="28">
      <c r="A10" s="36" t="n">
        <v>46023</v>
      </c>
      <c r="B10" s="0" t="n">
        <v>630.7545776367188</v>
      </c>
      <c r="C10" s="0" t="n">
        <v>630.7545776367188</v>
      </c>
      <c r="D10" s="0" t="n">
        <v>630.7545776367188</v>
      </c>
      <c r="E10" s="0" t="n">
        <v>630.7545776367188</v>
      </c>
      <c r="F10" s="0" t="inlineStr"/>
      <c r="G10" s="0" t="inlineStr"/>
    </row>
    <row r="11" ht="19.2" customHeight="1" s="28">
      <c r="A11" s="36" t="n">
        <v>45992</v>
      </c>
      <c r="B11" s="0" t="n">
        <v>621.7427368164062</v>
      </c>
      <c r="C11" s="0" t="n">
        <v>621.7427368164062</v>
      </c>
      <c r="D11" s="0" t="n">
        <v>621.7427368164062</v>
      </c>
      <c r="E11" s="0" t="n">
        <v>621.7427368164062</v>
      </c>
      <c r="F11" s="0" t="inlineStr"/>
      <c r="G11" s="0" t="inlineStr"/>
    </row>
    <row r="12" ht="19.2" customHeight="1" s="28">
      <c r="A12" s="36" t="n">
        <v>45962</v>
      </c>
      <c r="B12" s="0" t="n">
        <v>621.2535400390625</v>
      </c>
      <c r="C12" s="0" t="n">
        <v>621.2535400390625</v>
      </c>
      <c r="D12" s="0" t="n">
        <v>621.2535400390625</v>
      </c>
      <c r="E12" s="0" t="n">
        <v>621.2535400390625</v>
      </c>
      <c r="F12" s="0" t="inlineStr"/>
      <c r="G12" s="0" t="inlineStr"/>
    </row>
    <row r="13" ht="19.2" customHeight="1" s="28">
      <c r="A13" s="36" t="n">
        <v>45931</v>
      </c>
      <c r="B13" s="0" t="n">
        <v>619.8991088867188</v>
      </c>
      <c r="C13" s="0" t="n">
        <v>619.8991088867188</v>
      </c>
      <c r="D13" s="0" t="n">
        <v>619.8991088867188</v>
      </c>
      <c r="E13" s="0" t="n">
        <v>619.8991088867188</v>
      </c>
      <c r="F13" s="0" t="inlineStr"/>
      <c r="G13" s="0" t="inlineStr"/>
    </row>
    <row r="14" ht="19.2" customHeight="1" s="28">
      <c r="A14" s="37" t="n">
        <v>45901</v>
      </c>
      <c r="B14" s="0" t="n">
        <v>605.4061279296875</v>
      </c>
      <c r="C14" s="0" t="n">
        <v>605.4061279296875</v>
      </c>
      <c r="D14" s="0" t="n">
        <v>605.4061279296875</v>
      </c>
      <c r="E14" s="0" t="n">
        <v>605.4061279296875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I17" sqref="I17"/>
    </sheetView>
  </sheetViews>
  <sheetFormatPr baseColWidth="8" defaultColWidth="17.88671875" defaultRowHeight="16.2"/>
  <cols>
    <col width="13.44140625" bestFit="1" customWidth="1" style="28" min="1" max="1"/>
    <col width="6.88671875" bestFit="1" customWidth="1" style="28" min="2" max="5"/>
    <col width="10.109375" bestFit="1" customWidth="1" style="28" min="6" max="6"/>
    <col width="11.33203125" bestFit="1" customWidth="1" style="28" min="7" max="7"/>
    <col width="64.5546875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84.95999908447266</v>
      </c>
      <c r="C2" s="0" t="n">
        <v>84.95999908447266</v>
      </c>
      <c r="D2" s="0" t="n">
        <v>84.95999908447266</v>
      </c>
      <c r="E2" s="0" t="n">
        <v>84.95999908447266</v>
      </c>
      <c r="F2" s="0" t="inlineStr"/>
      <c r="G2" s="0" t="inlineStr"/>
    </row>
    <row r="3" ht="19.2" customHeight="1" s="28">
      <c r="A3" s="36" t="n">
        <v>46235</v>
      </c>
      <c r="B3" s="0" t="n">
        <v>87.16252136230469</v>
      </c>
      <c r="C3" s="0" t="n">
        <v>87.16252136230469</v>
      </c>
      <c r="D3" s="0" t="n">
        <v>87.16252136230469</v>
      </c>
      <c r="E3" s="0" t="n">
        <v>87.16252136230469</v>
      </c>
      <c r="F3" s="0" t="inlineStr"/>
      <c r="G3" s="0" t="inlineStr"/>
    </row>
    <row r="4" ht="19.2" customHeight="1" s="28">
      <c r="A4" s="36" t="n">
        <v>46204</v>
      </c>
      <c r="B4" s="0" t="n">
        <v>84.43743896484375</v>
      </c>
      <c r="C4" s="0" t="n">
        <v>84.43743896484375</v>
      </c>
      <c r="D4" s="0" t="n">
        <v>84.43743896484375</v>
      </c>
      <c r="E4" s="0" t="n">
        <v>84.43743896484375</v>
      </c>
      <c r="F4" s="0" t="inlineStr"/>
      <c r="G4" s="0" t="inlineStr"/>
    </row>
    <row r="5" ht="19.2" customHeight="1" s="28">
      <c r="A5" s="36" t="n">
        <v>46174</v>
      </c>
      <c r="B5" s="0" t="n">
        <v>85.33582305908203</v>
      </c>
      <c r="C5" s="0" t="n">
        <v>85.33582305908203</v>
      </c>
      <c r="D5" s="0" t="n">
        <v>85.33582305908203</v>
      </c>
      <c r="E5" s="0" t="n">
        <v>85.33582305908203</v>
      </c>
      <c r="F5" s="0" t="inlineStr"/>
      <c r="G5" s="0" t="inlineStr"/>
    </row>
    <row r="6" ht="19.2" customHeight="1" s="28">
      <c r="A6" s="36" t="n">
        <v>46143</v>
      </c>
      <c r="B6" s="0" t="n">
        <v>85.51988983154297</v>
      </c>
      <c r="C6" s="0" t="n">
        <v>85.51988983154297</v>
      </c>
      <c r="D6" s="0" t="n">
        <v>85.51988983154297</v>
      </c>
      <c r="E6" s="0" t="n">
        <v>85.51988983154297</v>
      </c>
      <c r="F6" s="0" t="inlineStr"/>
      <c r="G6" s="0" t="inlineStr"/>
    </row>
    <row r="7" ht="19.2" customHeight="1" s="28">
      <c r="A7" s="36" t="n">
        <v>46113</v>
      </c>
      <c r="B7" s="0" t="n">
        <v>82.53871917724609</v>
      </c>
      <c r="C7" s="0" t="n">
        <v>82.53871917724609</v>
      </c>
      <c r="D7" s="0" t="n">
        <v>82.53871917724609</v>
      </c>
      <c r="E7" s="0" t="n">
        <v>82.53871917724609</v>
      </c>
      <c r="F7" s="0" t="inlineStr"/>
      <c r="G7" s="0" t="inlineStr"/>
    </row>
    <row r="8" ht="19.2" customHeight="1" s="28">
      <c r="A8" s="36" t="n">
        <v>46082</v>
      </c>
      <c r="B8" s="0" t="n">
        <v>76.62606048583984</v>
      </c>
      <c r="C8" s="0" t="n">
        <v>76.62606048583984</v>
      </c>
      <c r="D8" s="0" t="n">
        <v>76.62606048583984</v>
      </c>
      <c r="E8" s="0" t="n">
        <v>76.62606048583984</v>
      </c>
      <c r="F8" s="0" t="inlineStr"/>
      <c r="G8" s="0" t="inlineStr"/>
    </row>
    <row r="9" ht="19.2" customHeight="1" s="28">
      <c r="A9" s="36" t="n">
        <v>46054</v>
      </c>
      <c r="B9" s="0" t="n">
        <v>83.19765472412109</v>
      </c>
      <c r="C9" s="0" t="n">
        <v>83.19765472412109</v>
      </c>
      <c r="D9" s="0" t="n">
        <v>83.19765472412109</v>
      </c>
      <c r="E9" s="0" t="n">
        <v>83.19765472412109</v>
      </c>
      <c r="F9" s="0" t="inlineStr"/>
      <c r="G9" s="0" t="inlineStr"/>
    </row>
    <row r="10" ht="19.2" customHeight="1" s="28">
      <c r="A10" s="36" t="n">
        <v>46023</v>
      </c>
      <c r="B10" s="0" t="n">
        <v>79.07798767089844</v>
      </c>
      <c r="C10" s="0" t="n">
        <v>79.07798767089844</v>
      </c>
      <c r="D10" s="0" t="n">
        <v>79.07798767089844</v>
      </c>
      <c r="E10" s="0" t="n">
        <v>79.07798767089844</v>
      </c>
      <c r="F10" s="0" t="inlineStr"/>
      <c r="G10" s="0" t="inlineStr"/>
    </row>
    <row r="11" ht="19.2" customHeight="1" s="28">
      <c r="A11" s="36" t="n">
        <v>45992</v>
      </c>
      <c r="B11" s="0" t="n">
        <v>74.88881683349609</v>
      </c>
      <c r="C11" s="0" t="n">
        <v>74.88881683349609</v>
      </c>
      <c r="D11" s="0" t="n">
        <v>74.88881683349609</v>
      </c>
      <c r="E11" s="0" t="n">
        <v>74.88881683349609</v>
      </c>
      <c r="F11" s="0" t="inlineStr"/>
      <c r="G11" s="0" t="inlineStr"/>
    </row>
    <row r="12" ht="19.2" customHeight="1" s="28">
      <c r="A12" s="36" t="n">
        <v>45962</v>
      </c>
      <c r="B12" s="0" t="n">
        <v>73.05070495605469</v>
      </c>
      <c r="C12" s="0" t="n">
        <v>73.05070495605469</v>
      </c>
      <c r="D12" s="0" t="n">
        <v>73.05070495605469</v>
      </c>
      <c r="E12" s="0" t="n">
        <v>73.05070495605469</v>
      </c>
      <c r="F12" s="0" t="inlineStr"/>
      <c r="G12" s="0" t="inlineStr"/>
    </row>
    <row r="13" ht="19.2" customHeight="1" s="28">
      <c r="A13" s="36" t="n">
        <v>45931</v>
      </c>
      <c r="B13" s="0" t="n">
        <v>72.74851226806641</v>
      </c>
      <c r="C13" s="0" t="n">
        <v>72.74851226806641</v>
      </c>
      <c r="D13" s="0" t="n">
        <v>72.74851226806641</v>
      </c>
      <c r="E13" s="0" t="n">
        <v>72.74851226806641</v>
      </c>
      <c r="F13" s="0" t="inlineStr"/>
      <c r="G13" s="0" t="inlineStr"/>
    </row>
    <row r="14" ht="19.2" customHeight="1" s="28">
      <c r="A14" s="37" t="n">
        <v>45901</v>
      </c>
      <c r="B14" s="0" t="n">
        <v>71.60801696777344</v>
      </c>
      <c r="C14" s="0" t="n">
        <v>71.60801696777344</v>
      </c>
      <c r="D14" s="0" t="n">
        <v>71.60801696777344</v>
      </c>
      <c r="E14" s="0" t="n">
        <v>71.60801696777344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:G29"/>
    </sheetView>
  </sheetViews>
  <sheetFormatPr baseColWidth="8" defaultRowHeight="16.2"/>
  <cols>
    <col width="13.44140625" bestFit="1" customWidth="1" style="28" min="1" max="1"/>
    <col width="6.88671875" bestFit="1" customWidth="1" style="28" min="2" max="5"/>
    <col width="10.109375" bestFit="1" customWidth="1" style="28" min="6" max="6"/>
    <col width="11.33203125" bestFit="1" customWidth="1" style="28" min="7" max="7"/>
    <col width="8.109375" bestFit="1" customWidth="1" style="28" min="8" max="10"/>
    <col width="10.33203125" bestFit="1" customWidth="1" style="28" min="11" max="11"/>
    <col width="67.6640625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69.9010009765625</v>
      </c>
      <c r="C2" s="0" t="n">
        <v>69.9010009765625</v>
      </c>
      <c r="D2" s="0" t="n">
        <v>69.9010009765625</v>
      </c>
      <c r="E2" s="0" t="n">
        <v>69.9010009765625</v>
      </c>
      <c r="F2" s="0" t="inlineStr"/>
      <c r="G2" s="0" t="inlineStr"/>
    </row>
    <row r="3" ht="19.2" customHeight="1" s="28">
      <c r="A3" s="36" t="n">
        <v>46235</v>
      </c>
      <c r="B3" s="0" t="n">
        <v>71.73148345947266</v>
      </c>
      <c r="C3" s="0" t="n">
        <v>71.73148345947266</v>
      </c>
      <c r="D3" s="0" t="n">
        <v>71.73148345947266</v>
      </c>
      <c r="E3" s="0" t="n">
        <v>71.73148345947266</v>
      </c>
      <c r="F3" s="0" t="inlineStr"/>
      <c r="G3" s="0" t="inlineStr"/>
    </row>
    <row r="4" ht="19.2" customHeight="1" s="28">
      <c r="A4" s="36" t="n">
        <v>46204</v>
      </c>
      <c r="B4" s="0" t="n">
        <v>71.47133636474609</v>
      </c>
      <c r="C4" s="0" t="n">
        <v>71.47133636474609</v>
      </c>
      <c r="D4" s="0" t="n">
        <v>71.47133636474609</v>
      </c>
      <c r="E4" s="0" t="n">
        <v>71.47133636474609</v>
      </c>
      <c r="F4" s="0" t="inlineStr"/>
      <c r="G4" s="0" t="inlineStr"/>
    </row>
    <row r="5" ht="19.2" customHeight="1" s="28">
      <c r="A5" s="36" t="n">
        <v>46174</v>
      </c>
      <c r="B5" s="0" t="n">
        <v>72.39749908447266</v>
      </c>
      <c r="C5" s="0" t="n">
        <v>72.39749908447266</v>
      </c>
      <c r="D5" s="0" t="n">
        <v>72.39749908447266</v>
      </c>
      <c r="E5" s="0" t="n">
        <v>72.39749908447266</v>
      </c>
      <c r="F5" s="0" t="inlineStr"/>
      <c r="G5" s="0" t="inlineStr"/>
    </row>
    <row r="6" ht="19.2" customHeight="1" s="28">
      <c r="A6" s="36" t="n">
        <v>46143</v>
      </c>
      <c r="B6" s="0" t="n">
        <v>72.20321655273438</v>
      </c>
      <c r="C6" s="0" t="n">
        <v>72.20321655273438</v>
      </c>
      <c r="D6" s="0" t="n">
        <v>72.20321655273438</v>
      </c>
      <c r="E6" s="0" t="n">
        <v>72.20321655273438</v>
      </c>
      <c r="F6" s="0" t="inlineStr"/>
      <c r="G6" s="0" t="inlineStr"/>
    </row>
    <row r="7" ht="19.2" customHeight="1" s="28">
      <c r="A7" s="36" t="n">
        <v>46113</v>
      </c>
      <c r="B7" s="0" t="n">
        <v>72.00467681884766</v>
      </c>
      <c r="C7" s="0" t="n">
        <v>72.00467681884766</v>
      </c>
      <c r="D7" s="0" t="n">
        <v>72.00467681884766</v>
      </c>
      <c r="E7" s="0" t="n">
        <v>72.00467681884766</v>
      </c>
      <c r="F7" s="0" t="inlineStr"/>
      <c r="G7" s="0" t="inlineStr"/>
    </row>
    <row r="8" ht="19.2" customHeight="1" s="28">
      <c r="A8" s="36" t="n">
        <v>46082</v>
      </c>
      <c r="B8" s="0" t="n">
        <v>71.89690399169922</v>
      </c>
      <c r="C8" s="0" t="n">
        <v>71.89690399169922</v>
      </c>
      <c r="D8" s="0" t="n">
        <v>71.89690399169922</v>
      </c>
      <c r="E8" s="0" t="n">
        <v>71.89690399169922</v>
      </c>
      <c r="F8" s="0" t="inlineStr"/>
      <c r="G8" s="0" t="inlineStr"/>
    </row>
    <row r="9" ht="19.2" customHeight="1" s="28">
      <c r="A9" s="36" t="n">
        <v>46054</v>
      </c>
      <c r="B9" s="0" t="n">
        <v>73.16809844970703</v>
      </c>
      <c r="C9" s="0" t="n">
        <v>73.16809844970703</v>
      </c>
      <c r="D9" s="0" t="n">
        <v>73.16809844970703</v>
      </c>
      <c r="E9" s="0" t="n">
        <v>73.16809844970703</v>
      </c>
      <c r="F9" s="0" t="inlineStr"/>
      <c r="G9" s="0" t="inlineStr"/>
    </row>
    <row r="10" ht="19.2" customHeight="1" s="28">
      <c r="A10" s="36" t="n">
        <v>46023</v>
      </c>
      <c r="B10" s="0" t="n">
        <v>72.0146484375</v>
      </c>
      <c r="C10" s="0" t="n">
        <v>72.0146484375</v>
      </c>
      <c r="D10" s="0" t="n">
        <v>72.0146484375</v>
      </c>
      <c r="E10" s="0" t="n">
        <v>72.0146484375</v>
      </c>
      <c r="F10" s="0" t="inlineStr"/>
      <c r="G10" s="0" t="inlineStr"/>
    </row>
    <row r="11" ht="19.2" customHeight="1" s="28">
      <c r="A11" s="36" t="n">
        <v>45992</v>
      </c>
      <c r="B11" s="0" t="n">
        <v>71.85942077636719</v>
      </c>
      <c r="C11" s="0" t="n">
        <v>71.85942077636719</v>
      </c>
      <c r="D11" s="0" t="n">
        <v>71.85942077636719</v>
      </c>
      <c r="E11" s="0" t="n">
        <v>71.85942077636719</v>
      </c>
      <c r="F11" s="0" t="inlineStr"/>
      <c r="G11" s="0" t="inlineStr"/>
    </row>
    <row r="12" ht="19.2" customHeight="1" s="28">
      <c r="A12" s="36" t="n">
        <v>45962</v>
      </c>
      <c r="B12" s="0" t="n">
        <v>72.07575988769531</v>
      </c>
      <c r="C12" s="0" t="n">
        <v>72.07575988769531</v>
      </c>
      <c r="D12" s="0" t="n">
        <v>72.07575988769531</v>
      </c>
      <c r="E12" s="0" t="n">
        <v>72.07575988769531</v>
      </c>
      <c r="F12" s="0" t="inlineStr"/>
      <c r="G12" s="0" t="inlineStr"/>
    </row>
    <row r="13" ht="19.2" customHeight="1" s="28">
      <c r="A13" s="36" t="n">
        <v>45931</v>
      </c>
      <c r="B13" s="0" t="n">
        <v>71.6478271484375</v>
      </c>
      <c r="C13" s="0" t="n">
        <v>71.6478271484375</v>
      </c>
      <c r="D13" s="0" t="n">
        <v>71.6478271484375</v>
      </c>
      <c r="E13" s="0" t="n">
        <v>71.6478271484375</v>
      </c>
      <c r="F13" s="0" t="inlineStr"/>
      <c r="G13" s="0" t="inlineStr"/>
    </row>
    <row r="14" ht="19.2" customHeight="1" s="28">
      <c r="A14" s="37" t="n">
        <v>45901</v>
      </c>
      <c r="B14" s="0" t="n">
        <v>71.21840667724609</v>
      </c>
      <c r="C14" s="0" t="n">
        <v>71.21840667724609</v>
      </c>
      <c r="D14" s="0" t="n">
        <v>71.21840667724609</v>
      </c>
      <c r="E14" s="0" t="n">
        <v>71.21840667724609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C2" sqref="C2"/>
    </sheetView>
  </sheetViews>
  <sheetFormatPr baseColWidth="8" defaultRowHeight="16.2"/>
  <cols>
    <col width="13.44140625" bestFit="1" customWidth="1" style="28" min="1" max="1"/>
    <col width="6.88671875" bestFit="1" customWidth="1" style="28" min="2" max="5"/>
    <col width="10.109375" bestFit="1" customWidth="1" style="28" min="6" max="6"/>
    <col width="11.33203125" bestFit="1" customWidth="1" style="28" min="7" max="7"/>
    <col width="69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91.37699890136719</v>
      </c>
      <c r="C2" s="0" t="n">
        <v>91.37699890136719</v>
      </c>
      <c r="D2" s="0" t="n">
        <v>91.37699890136719</v>
      </c>
      <c r="E2" s="0" t="n">
        <v>91.37699890136719</v>
      </c>
      <c r="F2" s="0" t="inlineStr"/>
      <c r="G2" s="0" t="inlineStr"/>
    </row>
    <row r="3" ht="19.2" customHeight="1" s="28">
      <c r="A3" s="36" t="n">
        <v>46235</v>
      </c>
      <c r="B3" s="0" t="n">
        <v>91.11775207519531</v>
      </c>
      <c r="C3" s="0" t="n">
        <v>91.11775207519531</v>
      </c>
      <c r="D3" s="0" t="n">
        <v>91.11775207519531</v>
      </c>
      <c r="E3" s="0" t="n">
        <v>91.11775207519531</v>
      </c>
      <c r="F3" s="0" t="inlineStr"/>
      <c r="G3" s="0" t="inlineStr"/>
    </row>
    <row r="4" ht="19.2" customHeight="1" s="28">
      <c r="A4" s="36" t="n">
        <v>46204</v>
      </c>
      <c r="B4" s="0" t="n">
        <v>90.86624908447266</v>
      </c>
      <c r="C4" s="0" t="n">
        <v>90.86624908447266</v>
      </c>
      <c r="D4" s="0" t="n">
        <v>90.86624908447266</v>
      </c>
      <c r="E4" s="0" t="n">
        <v>90.86624908447266</v>
      </c>
      <c r="F4" s="0" t="inlineStr"/>
      <c r="G4" s="0" t="inlineStr"/>
    </row>
    <row r="5" ht="19.2" customHeight="1" s="28">
      <c r="A5" s="36" t="n">
        <v>46174</v>
      </c>
      <c r="B5" s="0" t="n">
        <v>90.56098175048828</v>
      </c>
      <c r="C5" s="0" t="n">
        <v>90.56098175048828</v>
      </c>
      <c r="D5" s="0" t="n">
        <v>90.56098175048828</v>
      </c>
      <c r="E5" s="0" t="n">
        <v>90.56098175048828</v>
      </c>
      <c r="F5" s="0" t="inlineStr"/>
      <c r="G5" s="0" t="inlineStr"/>
    </row>
    <row r="6" ht="19.2" customHeight="1" s="28">
      <c r="A6" s="36" t="n">
        <v>46143</v>
      </c>
      <c r="B6" s="0" t="n">
        <v>90.31491088867188</v>
      </c>
      <c r="C6" s="0" t="n">
        <v>90.31491088867188</v>
      </c>
      <c r="D6" s="0" t="n">
        <v>90.31491088867188</v>
      </c>
      <c r="E6" s="0" t="n">
        <v>90.31491088867188</v>
      </c>
      <c r="F6" s="0" t="inlineStr"/>
      <c r="G6" s="0" t="inlineStr"/>
    </row>
    <row r="7" ht="19.2" customHeight="1" s="28">
      <c r="A7" s="36" t="n">
        <v>46113</v>
      </c>
      <c r="B7" s="0" t="n">
        <v>90.0291748046875</v>
      </c>
      <c r="C7" s="0" t="n">
        <v>90.0291748046875</v>
      </c>
      <c r="D7" s="0" t="n">
        <v>90.0291748046875</v>
      </c>
      <c r="E7" s="0" t="n">
        <v>90.0291748046875</v>
      </c>
      <c r="F7" s="0" t="inlineStr"/>
      <c r="G7" s="0" t="inlineStr"/>
    </row>
    <row r="8" ht="19.2" customHeight="1" s="28">
      <c r="A8" s="36" t="n">
        <v>46082</v>
      </c>
      <c r="B8" s="0" t="n">
        <v>89.76980590820312</v>
      </c>
      <c r="C8" s="0" t="n">
        <v>89.76980590820312</v>
      </c>
      <c r="D8" s="0" t="n">
        <v>89.76980590820312</v>
      </c>
      <c r="E8" s="0" t="n">
        <v>89.76980590820312</v>
      </c>
      <c r="F8" s="0" t="inlineStr"/>
      <c r="G8" s="0" t="inlineStr"/>
    </row>
    <row r="9" ht="19.2" customHeight="1" s="28">
      <c r="A9" s="36" t="n">
        <v>46054</v>
      </c>
      <c r="B9" s="0" t="n">
        <v>89.51217651367188</v>
      </c>
      <c r="C9" s="0" t="n">
        <v>89.51217651367188</v>
      </c>
      <c r="D9" s="0" t="n">
        <v>89.51217651367188</v>
      </c>
      <c r="E9" s="0" t="n">
        <v>89.51217651367188</v>
      </c>
      <c r="F9" s="0" t="inlineStr"/>
      <c r="G9" s="0" t="inlineStr"/>
    </row>
    <row r="10" ht="19.2" customHeight="1" s="28">
      <c r="A10" s="36" t="n">
        <v>46023</v>
      </c>
      <c r="B10" s="0" t="n">
        <v>89.27378845214844</v>
      </c>
      <c r="C10" s="0" t="n">
        <v>89.27378845214844</v>
      </c>
      <c r="D10" s="0" t="n">
        <v>89.27378845214844</v>
      </c>
      <c r="E10" s="0" t="n">
        <v>89.27378845214844</v>
      </c>
      <c r="F10" s="0" t="inlineStr"/>
      <c r="G10" s="0" t="inlineStr"/>
    </row>
    <row r="11" ht="19.2" customHeight="1" s="28">
      <c r="A11" s="36" t="n">
        <v>45992</v>
      </c>
      <c r="B11" s="0" t="n">
        <v>89.01078033447266</v>
      </c>
      <c r="C11" s="0" t="n">
        <v>89.01078033447266</v>
      </c>
      <c r="D11" s="0" t="n">
        <v>89.01078033447266</v>
      </c>
      <c r="E11" s="0" t="n">
        <v>89.01078033447266</v>
      </c>
      <c r="F11" s="0" t="inlineStr"/>
      <c r="G11" s="0" t="inlineStr"/>
    </row>
    <row r="12" ht="19.2" customHeight="1" s="28">
      <c r="A12" s="36" t="n">
        <v>45962</v>
      </c>
      <c r="B12" s="0" t="n">
        <v>88.71342468261719</v>
      </c>
      <c r="C12" s="0" t="n">
        <v>88.71342468261719</v>
      </c>
      <c r="D12" s="0" t="n">
        <v>88.71342468261719</v>
      </c>
      <c r="E12" s="0" t="n">
        <v>88.71342468261719</v>
      </c>
      <c r="F12" s="0" t="inlineStr"/>
      <c r="G12" s="0" t="inlineStr"/>
    </row>
    <row r="13" ht="19.2" customHeight="1" s="28">
      <c r="A13" s="36" t="n">
        <v>45931</v>
      </c>
      <c r="B13" s="0" t="n">
        <v>88.45904541015625</v>
      </c>
      <c r="C13" s="0" t="n">
        <v>88.45904541015625</v>
      </c>
      <c r="D13" s="0" t="n">
        <v>88.45904541015625</v>
      </c>
      <c r="E13" s="0" t="n">
        <v>88.45904541015625</v>
      </c>
      <c r="F13" s="0" t="inlineStr"/>
      <c r="G13" s="0" t="inlineStr"/>
    </row>
    <row r="14" ht="19.2" customHeight="1" s="28">
      <c r="A14" s="37" t="n">
        <v>45901</v>
      </c>
      <c r="B14" s="0" t="n">
        <v>88.14958953857422</v>
      </c>
      <c r="C14" s="0" t="n">
        <v>88.14958953857422</v>
      </c>
      <c r="D14" s="0" t="n">
        <v>88.14958953857422</v>
      </c>
      <c r="E14" s="0" t="n">
        <v>88.14958953857422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  <row r="52" ht="54" customHeight="1" s="28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E29" sqref="E29"/>
    </sheetView>
  </sheetViews>
  <sheetFormatPr baseColWidth="8" defaultRowHeight="16.2"/>
  <cols>
    <col width="13.44140625" bestFit="1" customWidth="1" style="28" min="1" max="1"/>
    <col width="8.109375" bestFit="1" customWidth="1" style="28" min="2" max="5"/>
    <col width="9.44140625" bestFit="1" customWidth="1" style="28" min="6" max="6"/>
    <col width="11.33203125" bestFit="1" customWidth="1" style="28" min="7" max="7"/>
    <col width="71.88671875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155.25</v>
      </c>
      <c r="C2" s="0" t="n">
        <v>155.25</v>
      </c>
      <c r="D2" s="0" t="n">
        <v>155.25</v>
      </c>
      <c r="E2" s="0" t="n">
        <v>155.25</v>
      </c>
      <c r="F2" s="0" t="inlineStr"/>
      <c r="G2" s="0" t="inlineStr"/>
    </row>
    <row r="3" ht="19.2" customHeight="1" s="28">
      <c r="A3" s="36" t="n">
        <v>46235</v>
      </c>
      <c r="B3" s="0" t="n">
        <v>159.8004455566406</v>
      </c>
      <c r="C3" s="0" t="n">
        <v>159.8004455566406</v>
      </c>
      <c r="D3" s="0" t="n">
        <v>159.8004455566406</v>
      </c>
      <c r="E3" s="0" t="n">
        <v>159.8004455566406</v>
      </c>
      <c r="F3" s="0" t="inlineStr"/>
      <c r="G3" s="0" t="inlineStr"/>
    </row>
    <row r="4" ht="19.2" customHeight="1" s="28">
      <c r="A4" s="36" t="n">
        <v>46204</v>
      </c>
      <c r="B4" s="0" t="n">
        <v>150.2383575439453</v>
      </c>
      <c r="C4" s="0" t="n">
        <v>150.2383575439453</v>
      </c>
      <c r="D4" s="0" t="n">
        <v>150.2383575439453</v>
      </c>
      <c r="E4" s="0" t="n">
        <v>150.2383575439453</v>
      </c>
      <c r="F4" s="0" t="inlineStr"/>
      <c r="G4" s="0" t="inlineStr"/>
    </row>
    <row r="5" ht="19.2" customHeight="1" s="28">
      <c r="A5" s="36" t="n">
        <v>46174</v>
      </c>
      <c r="B5" s="0" t="n">
        <v>154.0012969970703</v>
      </c>
      <c r="C5" s="0" t="n">
        <v>154.0012969970703</v>
      </c>
      <c r="D5" s="0" t="n">
        <v>154.0012969970703</v>
      </c>
      <c r="E5" s="0" t="n">
        <v>154.0012969970703</v>
      </c>
      <c r="F5" s="0" t="inlineStr"/>
      <c r="G5" s="0" t="inlineStr"/>
    </row>
    <row r="6" ht="19.2" customHeight="1" s="28">
      <c r="A6" s="36" t="n">
        <v>46143</v>
      </c>
      <c r="B6" s="0" t="n">
        <v>159.8240814208984</v>
      </c>
      <c r="C6" s="0" t="n">
        <v>159.8240814208984</v>
      </c>
      <c r="D6" s="0" t="n">
        <v>159.8240814208984</v>
      </c>
      <c r="E6" s="0" t="n">
        <v>159.8240814208984</v>
      </c>
      <c r="F6" s="0" t="inlineStr"/>
      <c r="G6" s="0" t="inlineStr"/>
    </row>
    <row r="7" ht="19.2" customHeight="1" s="28">
      <c r="A7" s="36" t="n">
        <v>46113</v>
      </c>
      <c r="B7" s="0" t="n">
        <v>156.9353332519531</v>
      </c>
      <c r="C7" s="0" t="n">
        <v>156.9353332519531</v>
      </c>
      <c r="D7" s="0" t="n">
        <v>156.9353332519531</v>
      </c>
      <c r="E7" s="0" t="n">
        <v>156.9353332519531</v>
      </c>
      <c r="F7" s="0" t="inlineStr"/>
      <c r="G7" s="0" t="inlineStr"/>
    </row>
    <row r="8" ht="19.2" customHeight="1" s="28">
      <c r="A8" s="36" t="n">
        <v>46082</v>
      </c>
      <c r="B8" s="0" t="n">
        <v>144.7251739501953</v>
      </c>
      <c r="C8" s="0" t="n">
        <v>144.7251739501953</v>
      </c>
      <c r="D8" s="0" t="n">
        <v>144.7251739501953</v>
      </c>
      <c r="E8" s="0" t="n">
        <v>144.7251739501953</v>
      </c>
      <c r="F8" s="0" t="inlineStr"/>
      <c r="G8" s="0" t="inlineStr"/>
    </row>
    <row r="9" ht="19.2" customHeight="1" s="28">
      <c r="A9" s="36" t="n">
        <v>46054</v>
      </c>
      <c r="B9" s="0" t="n">
        <v>158.8810272216797</v>
      </c>
      <c r="C9" s="0" t="n">
        <v>158.8810272216797</v>
      </c>
      <c r="D9" s="0" t="n">
        <v>158.8810272216797</v>
      </c>
      <c r="E9" s="0" t="n">
        <v>158.8810272216797</v>
      </c>
      <c r="F9" s="0" t="inlineStr"/>
      <c r="G9" s="0" t="inlineStr"/>
    </row>
    <row r="10" ht="19.2" customHeight="1" s="28">
      <c r="A10" s="36" t="n">
        <v>46023</v>
      </c>
      <c r="B10" s="0" t="n">
        <v>151.3861541748047</v>
      </c>
      <c r="C10" s="0" t="n">
        <v>151.3861541748047</v>
      </c>
      <c r="D10" s="0" t="n">
        <v>151.3861541748047</v>
      </c>
      <c r="E10" s="0" t="n">
        <v>151.3861541748047</v>
      </c>
      <c r="F10" s="0" t="inlineStr"/>
      <c r="G10" s="0" t="inlineStr"/>
    </row>
    <row r="11" ht="19.2" customHeight="1" s="28">
      <c r="A11" s="36" t="n">
        <v>45992</v>
      </c>
      <c r="B11" s="0" t="n">
        <v>142.2831420898438</v>
      </c>
      <c r="C11" s="0" t="n">
        <v>142.2831420898438</v>
      </c>
      <c r="D11" s="0" t="n">
        <v>142.2831420898438</v>
      </c>
      <c r="E11" s="0" t="n">
        <v>142.2831420898438</v>
      </c>
      <c r="F11" s="0" t="inlineStr"/>
      <c r="G11" s="0" t="inlineStr"/>
    </row>
    <row r="12" ht="19.2" customHeight="1" s="28">
      <c r="A12" s="36" t="n">
        <v>45962</v>
      </c>
      <c r="B12" s="0" t="n">
        <v>139.3867340087891</v>
      </c>
      <c r="C12" s="0" t="n">
        <v>139.3867340087891</v>
      </c>
      <c r="D12" s="0" t="n">
        <v>139.3867340087891</v>
      </c>
      <c r="E12" s="0" t="n">
        <v>139.3867340087891</v>
      </c>
      <c r="F12" s="0" t="inlineStr"/>
      <c r="G12" s="0" t="inlineStr"/>
    </row>
    <row r="13" ht="19.2" customHeight="1" s="28">
      <c r="A13" s="36" t="n">
        <v>45931</v>
      </c>
      <c r="B13" s="0" t="n">
        <v>138.0293273925781</v>
      </c>
      <c r="C13" s="0" t="n">
        <v>138.0293273925781</v>
      </c>
      <c r="D13" s="0" t="n">
        <v>138.0293273925781</v>
      </c>
      <c r="E13" s="0" t="n">
        <v>138.0293273925781</v>
      </c>
      <c r="F13" s="0" t="inlineStr"/>
      <c r="G13" s="0" t="inlineStr"/>
    </row>
    <row r="14" ht="19.2" customHeight="1" s="28">
      <c r="A14" s="37" t="n">
        <v>45901</v>
      </c>
      <c r="B14" s="0" t="n">
        <v>138.2135620117188</v>
      </c>
      <c r="C14" s="0" t="n">
        <v>138.2135620117188</v>
      </c>
      <c r="D14" s="0" t="n">
        <v>138.2135620117188</v>
      </c>
      <c r="E14" s="0" t="n">
        <v>138.2135620117188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:G29"/>
    </sheetView>
  </sheetViews>
  <sheetFormatPr baseColWidth="8" defaultColWidth="9.21875" defaultRowHeight="16.2"/>
  <cols>
    <col width="14.6640625" bestFit="1" customWidth="1" style="28" min="1" max="1"/>
    <col width="8.109375" bestFit="1" customWidth="1" style="28" min="2" max="5"/>
    <col width="10.109375" bestFit="1" customWidth="1" style="28" min="6" max="6"/>
    <col width="12.33203125" bestFit="1" customWidth="1" style="28" min="7" max="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77.46799468994141</v>
      </c>
      <c r="C2" s="0" t="n">
        <v>77.46799468994141</v>
      </c>
      <c r="D2" s="0" t="n">
        <v>77.46799468994141</v>
      </c>
      <c r="E2" s="0" t="n">
        <v>77.46799468994141</v>
      </c>
      <c r="F2" s="0" t="inlineStr"/>
      <c r="G2" s="0" t="inlineStr"/>
    </row>
    <row r="3" ht="19.2" customHeight="1" s="28">
      <c r="A3" s="36" t="n">
        <v>46235</v>
      </c>
      <c r="B3" s="0" t="n">
        <v>81.875244140625</v>
      </c>
      <c r="C3" s="0" t="n">
        <v>81.875244140625</v>
      </c>
      <c r="D3" s="0" t="n">
        <v>81.875244140625</v>
      </c>
      <c r="E3" s="0" t="n">
        <v>81.875244140625</v>
      </c>
      <c r="F3" s="0" t="inlineStr"/>
      <c r="G3" s="0" t="inlineStr"/>
    </row>
    <row r="4" ht="19.2" customHeight="1" s="28">
      <c r="A4" s="36" t="n">
        <v>46204</v>
      </c>
      <c r="B4" s="0" t="n">
        <v>81.27993011474609</v>
      </c>
      <c r="C4" s="0" t="n">
        <v>81.27993011474609</v>
      </c>
      <c r="D4" s="0" t="n">
        <v>81.27993011474609</v>
      </c>
      <c r="E4" s="0" t="n">
        <v>81.27993011474609</v>
      </c>
      <c r="F4" s="0" t="inlineStr"/>
      <c r="G4" s="0" t="inlineStr"/>
    </row>
    <row r="5" ht="19.2" customHeight="1" s="28">
      <c r="A5" s="36" t="n">
        <v>46174</v>
      </c>
      <c r="B5" s="0" t="n">
        <v>85.08650207519531</v>
      </c>
      <c r="C5" s="0" t="n">
        <v>85.08650207519531</v>
      </c>
      <c r="D5" s="0" t="n">
        <v>85.08650207519531</v>
      </c>
      <c r="E5" s="0" t="n">
        <v>85.08650207519531</v>
      </c>
      <c r="F5" s="0" t="inlineStr"/>
      <c r="G5" s="0" t="inlineStr"/>
    </row>
    <row r="6" ht="19.2" customHeight="1" s="28">
      <c r="A6" s="36" t="n">
        <v>46143</v>
      </c>
      <c r="B6" s="0" t="n">
        <v>84.10586547851562</v>
      </c>
      <c r="C6" s="0" t="n">
        <v>84.10586547851562</v>
      </c>
      <c r="D6" s="0" t="n">
        <v>84.10586547851562</v>
      </c>
      <c r="E6" s="0" t="n">
        <v>84.10586547851562</v>
      </c>
      <c r="F6" s="0" t="inlineStr"/>
      <c r="G6" s="0" t="inlineStr"/>
    </row>
    <row r="7" ht="19.2" customHeight="1" s="28">
      <c r="A7" s="36" t="n">
        <v>46113</v>
      </c>
      <c r="B7" s="0" t="n">
        <v>83.65964508056641</v>
      </c>
      <c r="C7" s="0" t="n">
        <v>83.65964508056641</v>
      </c>
      <c r="D7" s="0" t="n">
        <v>83.65964508056641</v>
      </c>
      <c r="E7" s="0" t="n">
        <v>83.65964508056641</v>
      </c>
      <c r="F7" s="0" t="inlineStr"/>
      <c r="G7" s="0" t="inlineStr"/>
    </row>
    <row r="8" ht="19.2" customHeight="1" s="28">
      <c r="A8" s="36" t="n">
        <v>46082</v>
      </c>
      <c r="B8" s="0" t="n">
        <v>84.36805725097656</v>
      </c>
      <c r="C8" s="0" t="n">
        <v>84.36805725097656</v>
      </c>
      <c r="D8" s="0" t="n">
        <v>84.36805725097656</v>
      </c>
      <c r="E8" s="0" t="n">
        <v>84.36805725097656</v>
      </c>
      <c r="F8" s="0" t="inlineStr"/>
      <c r="G8" s="0" t="inlineStr"/>
    </row>
    <row r="9" ht="19.2" customHeight="1" s="28">
      <c r="A9" s="36" t="n">
        <v>46054</v>
      </c>
      <c r="B9" s="0" t="n">
        <v>88.09449768066406</v>
      </c>
      <c r="C9" s="0" t="n">
        <v>88.09449768066406</v>
      </c>
      <c r="D9" s="0" t="n">
        <v>88.09449768066406</v>
      </c>
      <c r="E9" s="0" t="n">
        <v>88.09449768066406</v>
      </c>
      <c r="F9" s="0" t="inlineStr"/>
      <c r="G9" s="0" t="inlineStr"/>
    </row>
    <row r="10" ht="19.2" customHeight="1" s="28">
      <c r="A10" s="36" t="n">
        <v>46023</v>
      </c>
      <c r="B10" s="0" t="n">
        <v>84.19319915771484</v>
      </c>
      <c r="C10" s="0" t="n">
        <v>84.19319915771484</v>
      </c>
      <c r="D10" s="0" t="n">
        <v>84.19319915771484</v>
      </c>
      <c r="E10" s="0" t="n">
        <v>84.19319915771484</v>
      </c>
      <c r="F10" s="0" t="inlineStr"/>
      <c r="G10" s="0" t="inlineStr"/>
    </row>
    <row r="11" ht="19.2" customHeight="1" s="28">
      <c r="A11" s="36" t="n">
        <v>45992</v>
      </c>
      <c r="B11" s="0" t="n">
        <v>84.22217559814453</v>
      </c>
      <c r="C11" s="0" t="n">
        <v>84.22217559814453</v>
      </c>
      <c r="D11" s="0" t="n">
        <v>84.22217559814453</v>
      </c>
      <c r="E11" s="0" t="n">
        <v>84.22217559814453</v>
      </c>
      <c r="F11" s="0" t="inlineStr"/>
      <c r="G11" s="0" t="inlineStr"/>
    </row>
    <row r="12" ht="19.2" customHeight="1" s="28">
      <c r="A12" s="36" t="n">
        <v>45962</v>
      </c>
      <c r="B12" s="0" t="n">
        <v>86.52247619628906</v>
      </c>
      <c r="C12" s="0" t="n">
        <v>86.52247619628906</v>
      </c>
      <c r="D12" s="0" t="n">
        <v>86.52247619628906</v>
      </c>
      <c r="E12" s="0" t="n">
        <v>86.52247619628906</v>
      </c>
      <c r="F12" s="0" t="inlineStr"/>
      <c r="G12" s="0" t="inlineStr"/>
    </row>
    <row r="13" ht="19.2" customHeight="1" s="28">
      <c r="A13" s="36" t="n">
        <v>45931</v>
      </c>
      <c r="B13" s="0" t="n">
        <v>86.28749084472656</v>
      </c>
      <c r="C13" s="0" t="n">
        <v>86.28749084472656</v>
      </c>
      <c r="D13" s="0" t="n">
        <v>86.28749084472656</v>
      </c>
      <c r="E13" s="0" t="n">
        <v>86.28749084472656</v>
      </c>
      <c r="F13" s="0" t="inlineStr"/>
      <c r="G13" s="0" t="inlineStr"/>
    </row>
    <row r="14" ht="19.2" customHeight="1" s="28">
      <c r="A14" s="37" t="n">
        <v>45901</v>
      </c>
      <c r="B14" s="0" t="n">
        <v>85.11201477050781</v>
      </c>
      <c r="C14" s="0" t="n">
        <v>85.11201477050781</v>
      </c>
      <c r="D14" s="0" t="n">
        <v>85.11201477050781</v>
      </c>
      <c r="E14" s="0" t="n">
        <v>85.11201477050781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  <row r="51" ht="54" customHeight="1" s="28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:G29"/>
    </sheetView>
  </sheetViews>
  <sheetFormatPr baseColWidth="8" defaultColWidth="15.109375" defaultRowHeight="16.2"/>
  <cols>
    <col width="13.44140625" bestFit="1" customWidth="1" style="28" min="1" max="1"/>
    <col width="6.88671875" bestFit="1" customWidth="1" style="28" min="2" max="5"/>
    <col width="10.109375" bestFit="1" customWidth="1" style="28" min="6" max="6"/>
    <col width="11.33203125" bestFit="1" customWidth="1" style="28" min="7" max="7"/>
    <col width="71.77734375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59.31000137329102</v>
      </c>
      <c r="C2" s="0" t="n">
        <v>59.31000137329102</v>
      </c>
      <c r="D2" s="0" t="n">
        <v>59.31000137329102</v>
      </c>
      <c r="E2" s="0" t="n">
        <v>59.31000137329102</v>
      </c>
      <c r="F2" s="0" t="inlineStr"/>
      <c r="G2" s="0" t="inlineStr"/>
    </row>
    <row r="3" ht="19.2" customHeight="1" s="28">
      <c r="A3" s="36" t="n">
        <v>46235</v>
      </c>
      <c r="B3" s="0" t="n">
        <v>60.40483856201172</v>
      </c>
      <c r="C3" s="0" t="n">
        <v>60.40483856201172</v>
      </c>
      <c r="D3" s="0" t="n">
        <v>60.40483856201172</v>
      </c>
      <c r="E3" s="0" t="n">
        <v>60.40483856201172</v>
      </c>
      <c r="F3" s="0" t="inlineStr"/>
      <c r="G3" s="0" t="inlineStr"/>
    </row>
    <row r="4" ht="19.2" customHeight="1" s="28">
      <c r="A4" s="36" t="n">
        <v>46204</v>
      </c>
      <c r="B4" s="0" t="n">
        <v>58.63820648193359</v>
      </c>
      <c r="C4" s="0" t="n">
        <v>58.63820648193359</v>
      </c>
      <c r="D4" s="0" t="n">
        <v>58.63820648193359</v>
      </c>
      <c r="E4" s="0" t="n">
        <v>58.63820648193359</v>
      </c>
      <c r="F4" s="0" t="inlineStr"/>
      <c r="G4" s="0" t="inlineStr"/>
    </row>
    <row r="5" ht="19.2" customHeight="1" s="28">
      <c r="A5" s="36" t="n">
        <v>46174</v>
      </c>
      <c r="B5" s="0" t="n">
        <v>59.576416015625</v>
      </c>
      <c r="C5" s="0" t="n">
        <v>59.576416015625</v>
      </c>
      <c r="D5" s="0" t="n">
        <v>59.576416015625</v>
      </c>
      <c r="E5" s="0" t="n">
        <v>59.576416015625</v>
      </c>
      <c r="F5" s="0" t="inlineStr"/>
      <c r="G5" s="0" t="inlineStr"/>
    </row>
    <row r="6" ht="19.2" customHeight="1" s="28">
      <c r="A6" s="36" t="n">
        <v>46143</v>
      </c>
      <c r="B6" s="0" t="n">
        <v>59.69511032104492</v>
      </c>
      <c r="C6" s="0" t="n">
        <v>59.69511032104492</v>
      </c>
      <c r="D6" s="0" t="n">
        <v>59.69511032104492</v>
      </c>
      <c r="E6" s="0" t="n">
        <v>59.69511032104492</v>
      </c>
      <c r="F6" s="0" t="inlineStr"/>
      <c r="G6" s="0" t="inlineStr"/>
    </row>
    <row r="7" ht="19.2" customHeight="1" s="28">
      <c r="A7" s="36" t="n">
        <v>46113</v>
      </c>
      <c r="B7" s="0" t="n">
        <v>58.74804306030273</v>
      </c>
      <c r="C7" s="0" t="n">
        <v>58.74804306030273</v>
      </c>
      <c r="D7" s="0" t="n">
        <v>58.74804306030273</v>
      </c>
      <c r="E7" s="0" t="n">
        <v>58.74804306030273</v>
      </c>
      <c r="F7" s="0" t="inlineStr"/>
      <c r="G7" s="0" t="inlineStr"/>
    </row>
    <row r="8" ht="19.2" customHeight="1" s="28">
      <c r="A8" s="36" t="n">
        <v>46082</v>
      </c>
      <c r="B8" s="0" t="n">
        <v>53.88310623168945</v>
      </c>
      <c r="C8" s="0" t="n">
        <v>53.88310623168945</v>
      </c>
      <c r="D8" s="0" t="n">
        <v>53.88310623168945</v>
      </c>
      <c r="E8" s="0" t="n">
        <v>53.88310623168945</v>
      </c>
      <c r="F8" s="0" t="inlineStr"/>
      <c r="G8" s="0" t="inlineStr"/>
    </row>
    <row r="9" ht="19.2" customHeight="1" s="28">
      <c r="A9" s="36" t="n">
        <v>46054</v>
      </c>
      <c r="B9" s="0" t="n">
        <v>57.92060089111328</v>
      </c>
      <c r="C9" s="0" t="n">
        <v>57.92060089111328</v>
      </c>
      <c r="D9" s="0" t="n">
        <v>57.92060089111328</v>
      </c>
      <c r="E9" s="0" t="n">
        <v>57.92060089111328</v>
      </c>
      <c r="F9" s="0" t="inlineStr"/>
      <c r="G9" s="0" t="inlineStr"/>
    </row>
    <row r="10" ht="19.2" customHeight="1" s="28">
      <c r="A10" s="36" t="n">
        <v>46023</v>
      </c>
      <c r="B10" s="0" t="n">
        <v>56.29563903808594</v>
      </c>
      <c r="C10" s="0" t="n">
        <v>56.29563903808594</v>
      </c>
      <c r="D10" s="0" t="n">
        <v>56.29563903808594</v>
      </c>
      <c r="E10" s="0" t="n">
        <v>56.29563903808594</v>
      </c>
      <c r="F10" s="0" t="inlineStr"/>
      <c r="G10" s="0" t="inlineStr"/>
    </row>
    <row r="11" ht="19.2" customHeight="1" s="28">
      <c r="A11" s="36" t="n">
        <v>45992</v>
      </c>
      <c r="B11" s="0" t="n">
        <v>53.5940055847168</v>
      </c>
      <c r="C11" s="0" t="n">
        <v>53.5940055847168</v>
      </c>
      <c r="D11" s="0" t="n">
        <v>53.5940055847168</v>
      </c>
      <c r="E11" s="0" t="n">
        <v>53.5940055847168</v>
      </c>
      <c r="F11" s="0" t="inlineStr"/>
      <c r="G11" s="0" t="inlineStr"/>
    </row>
    <row r="12" ht="19.2" customHeight="1" s="28">
      <c r="A12" s="36" t="n">
        <v>45962</v>
      </c>
      <c r="B12" s="0" t="n">
        <v>53.08868408203125</v>
      </c>
      <c r="C12" s="0" t="n">
        <v>53.08868408203125</v>
      </c>
      <c r="D12" s="0" t="n">
        <v>53.08868408203125</v>
      </c>
      <c r="E12" s="0" t="n">
        <v>53.08868408203125</v>
      </c>
      <c r="F12" s="0" t="inlineStr"/>
      <c r="G12" s="0" t="inlineStr"/>
    </row>
    <row r="13" ht="19.2" customHeight="1" s="28">
      <c r="A13" s="36" t="n">
        <v>45931</v>
      </c>
      <c r="B13" s="0" t="n">
        <v>53.74374389648438</v>
      </c>
      <c r="C13" s="0" t="n">
        <v>53.74374389648438</v>
      </c>
      <c r="D13" s="0" t="n">
        <v>53.74374389648438</v>
      </c>
      <c r="E13" s="0" t="n">
        <v>53.74374389648438</v>
      </c>
      <c r="F13" s="0" t="inlineStr"/>
      <c r="G13" s="0" t="inlineStr"/>
    </row>
    <row r="14" ht="19.2" customHeight="1" s="28">
      <c r="A14" s="37" t="n">
        <v>45901</v>
      </c>
      <c r="B14" s="0" t="n">
        <v>52.97136688232422</v>
      </c>
      <c r="C14" s="0" t="n">
        <v>52.97136688232422</v>
      </c>
      <c r="D14" s="0" t="n">
        <v>52.97136688232422</v>
      </c>
      <c r="E14" s="0" t="n">
        <v>52.97136688232422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:G29"/>
    </sheetView>
  </sheetViews>
  <sheetFormatPr baseColWidth="8" defaultColWidth="17.109375" defaultRowHeight="16.2"/>
  <cols>
    <col width="13.44140625" bestFit="1" customWidth="1" style="28" min="1" max="1"/>
    <col width="8.109375" bestFit="1" customWidth="1" style="28" min="2" max="5"/>
    <col width="10.109375" bestFit="1" customWidth="1" style="28" min="6" max="6"/>
    <col width="11.33203125" bestFit="1" customWidth="1" style="28" min="7" max="7"/>
    <col width="59.33203125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101.7409973144531</v>
      </c>
      <c r="C2" s="0" t="n">
        <v>101.7409973144531</v>
      </c>
      <c r="D2" s="0" t="n">
        <v>101.7409973144531</v>
      </c>
      <c r="E2" s="0" t="n">
        <v>101.7409973144531</v>
      </c>
      <c r="F2" s="0" t="inlineStr"/>
      <c r="G2" s="0" t="inlineStr"/>
    </row>
    <row r="3" ht="19.2" customHeight="1" s="28">
      <c r="A3" s="36" t="n">
        <v>46235</v>
      </c>
      <c r="B3" s="0" t="n">
        <v>105.3115921020508</v>
      </c>
      <c r="C3" s="0" t="n">
        <v>105.3115921020508</v>
      </c>
      <c r="D3" s="0" t="n">
        <v>105.3115921020508</v>
      </c>
      <c r="E3" s="0" t="n">
        <v>105.3115921020508</v>
      </c>
      <c r="F3" s="0" t="inlineStr"/>
      <c r="G3" s="0" t="inlineStr"/>
    </row>
    <row r="4" ht="19.2" customHeight="1" s="28">
      <c r="A4" s="36" t="n">
        <v>46204</v>
      </c>
      <c r="B4" s="0" t="n">
        <v>104.8971252441406</v>
      </c>
      <c r="C4" s="0" t="n">
        <v>104.8971252441406</v>
      </c>
      <c r="D4" s="0" t="n">
        <v>104.8971252441406</v>
      </c>
      <c r="E4" s="0" t="n">
        <v>104.8971252441406</v>
      </c>
      <c r="F4" s="0" t="inlineStr"/>
      <c r="G4" s="0" t="inlineStr"/>
    </row>
    <row r="5" ht="19.2" customHeight="1" s="28">
      <c r="A5" s="36" t="n">
        <v>46174</v>
      </c>
      <c r="B5" s="0" t="n">
        <v>107.304084777832</v>
      </c>
      <c r="C5" s="0" t="n">
        <v>107.304084777832</v>
      </c>
      <c r="D5" s="0" t="n">
        <v>107.304084777832</v>
      </c>
      <c r="E5" s="0" t="n">
        <v>107.304084777832</v>
      </c>
      <c r="F5" s="0" t="inlineStr"/>
      <c r="G5" s="0" t="inlineStr"/>
    </row>
    <row r="6" ht="19.2" customHeight="1" s="28">
      <c r="A6" s="36" t="n">
        <v>46143</v>
      </c>
      <c r="B6" s="0" t="n">
        <v>107.1830825805664</v>
      </c>
      <c r="C6" s="0" t="n">
        <v>107.1830825805664</v>
      </c>
      <c r="D6" s="0" t="n">
        <v>107.1830825805664</v>
      </c>
      <c r="E6" s="0" t="n">
        <v>107.1830825805664</v>
      </c>
      <c r="F6" s="0" t="inlineStr"/>
      <c r="G6" s="0" t="inlineStr"/>
    </row>
    <row r="7" ht="19.2" customHeight="1" s="28">
      <c r="A7" s="36" t="n">
        <v>46113</v>
      </c>
      <c r="B7" s="0" t="n">
        <v>106.2666931152344</v>
      </c>
      <c r="C7" s="0" t="n">
        <v>106.2666931152344</v>
      </c>
      <c r="D7" s="0" t="n">
        <v>106.2666931152344</v>
      </c>
      <c r="E7" s="0" t="n">
        <v>106.2666931152344</v>
      </c>
      <c r="F7" s="0" t="inlineStr"/>
      <c r="G7" s="0" t="inlineStr"/>
    </row>
    <row r="8" ht="19.2" customHeight="1" s="28">
      <c r="A8" s="36" t="n">
        <v>46082</v>
      </c>
      <c r="B8" s="0" t="n">
        <v>105.9679641723633</v>
      </c>
      <c r="C8" s="0" t="n">
        <v>105.9679641723633</v>
      </c>
      <c r="D8" s="0" t="n">
        <v>105.9679641723633</v>
      </c>
      <c r="E8" s="0" t="n">
        <v>105.9679641723633</v>
      </c>
      <c r="F8" s="0" t="inlineStr"/>
      <c r="G8" s="0" t="inlineStr"/>
    </row>
    <row r="9" ht="19.2" customHeight="1" s="28">
      <c r="A9" s="36" t="n">
        <v>46054</v>
      </c>
      <c r="B9" s="0" t="n">
        <v>108.2109909057617</v>
      </c>
      <c r="C9" s="0" t="n">
        <v>108.2109909057617</v>
      </c>
      <c r="D9" s="0" t="n">
        <v>108.2109909057617</v>
      </c>
      <c r="E9" s="0" t="n">
        <v>108.2109909057617</v>
      </c>
      <c r="F9" s="0" t="inlineStr"/>
      <c r="G9" s="0" t="inlineStr"/>
    </row>
    <row r="10" ht="19.2" customHeight="1" s="28">
      <c r="A10" s="36" t="n">
        <v>46023</v>
      </c>
      <c r="B10" s="0" t="n">
        <v>106.7401504516602</v>
      </c>
      <c r="C10" s="0" t="n">
        <v>106.7401504516602</v>
      </c>
      <c r="D10" s="0" t="n">
        <v>106.7401504516602</v>
      </c>
      <c r="E10" s="0" t="n">
        <v>106.7401504516602</v>
      </c>
      <c r="F10" s="0" t="inlineStr"/>
      <c r="G10" s="0" t="inlineStr"/>
    </row>
    <row r="11" ht="19.2" customHeight="1" s="28">
      <c r="A11" s="36" t="n">
        <v>45992</v>
      </c>
      <c r="B11" s="0" t="n">
        <v>106.3732986450195</v>
      </c>
      <c r="C11" s="0" t="n">
        <v>106.3732986450195</v>
      </c>
      <c r="D11" s="0" t="n">
        <v>106.3732986450195</v>
      </c>
      <c r="E11" s="0" t="n">
        <v>106.3732986450195</v>
      </c>
      <c r="F11" s="0" t="inlineStr"/>
      <c r="G11" s="0" t="inlineStr"/>
    </row>
    <row r="12" ht="19.2" customHeight="1" s="28">
      <c r="A12" s="36" t="n">
        <v>45962</v>
      </c>
      <c r="B12" s="0" t="n">
        <v>107.1636123657227</v>
      </c>
      <c r="C12" s="0" t="n">
        <v>107.1636123657227</v>
      </c>
      <c r="D12" s="0" t="n">
        <v>107.1636123657227</v>
      </c>
      <c r="E12" s="0" t="n">
        <v>107.1636123657227</v>
      </c>
      <c r="F12" s="0" t="inlineStr"/>
      <c r="G12" s="0" t="inlineStr"/>
    </row>
    <row r="13" ht="19.2" customHeight="1" s="28">
      <c r="A13" s="36" t="n">
        <v>45931</v>
      </c>
      <c r="B13" s="0" t="n">
        <v>106.174934387207</v>
      </c>
      <c r="C13" s="0" t="n">
        <v>106.174934387207</v>
      </c>
      <c r="D13" s="0" t="n">
        <v>106.174934387207</v>
      </c>
      <c r="E13" s="0" t="n">
        <v>106.174934387207</v>
      </c>
      <c r="F13" s="0" t="inlineStr"/>
      <c r="G13" s="0" t="inlineStr"/>
    </row>
    <row r="14" ht="19.2" customHeight="1" s="28">
      <c r="A14" s="37" t="n">
        <v>45901</v>
      </c>
      <c r="B14" s="0" t="n">
        <v>106.016471862793</v>
      </c>
      <c r="C14" s="0" t="n">
        <v>106.016471862793</v>
      </c>
      <c r="D14" s="0" t="n">
        <v>106.016471862793</v>
      </c>
      <c r="E14" s="0" t="n">
        <v>106.016471862793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  <row r="51" ht="54" customHeight="1" s="28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:G29"/>
    </sheetView>
  </sheetViews>
  <sheetFormatPr baseColWidth="8" defaultColWidth="18.33203125" defaultRowHeight="16.2"/>
  <cols>
    <col width="13.44140625" bestFit="1" customWidth="1" style="28" min="1" max="1"/>
    <col width="8.109375" bestFit="1" customWidth="1" style="28" min="2" max="5"/>
    <col width="10.109375" bestFit="1" customWidth="1" style="28" min="6" max="6"/>
    <col width="11.33203125" bestFit="1" customWidth="1" style="28" min="7" max="7"/>
    <col width="71.109375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89.00299835205078</v>
      </c>
      <c r="C2" s="0" t="n">
        <v>89.00299835205078</v>
      </c>
      <c r="D2" s="0" t="n">
        <v>89.00299835205078</v>
      </c>
      <c r="E2" s="0" t="n">
        <v>89.00299835205078</v>
      </c>
      <c r="F2" s="0" t="inlineStr"/>
      <c r="G2" s="0" t="inlineStr"/>
    </row>
    <row r="3" ht="19.2" customHeight="1" s="28">
      <c r="A3" s="36" t="n">
        <v>46235</v>
      </c>
      <c r="B3" s="0" t="n">
        <v>92.09035491943359</v>
      </c>
      <c r="C3" s="0" t="n">
        <v>92.09035491943359</v>
      </c>
      <c r="D3" s="0" t="n">
        <v>92.09035491943359</v>
      </c>
      <c r="E3" s="0" t="n">
        <v>92.09035491943359</v>
      </c>
      <c r="F3" s="0" t="inlineStr"/>
      <c r="G3" s="0" t="inlineStr"/>
    </row>
    <row r="4" ht="19.2" customHeight="1" s="28">
      <c r="A4" s="36" t="n">
        <v>46204</v>
      </c>
      <c r="B4" s="0" t="n">
        <v>91.98310089111328</v>
      </c>
      <c r="C4" s="0" t="n">
        <v>91.98310089111328</v>
      </c>
      <c r="D4" s="0" t="n">
        <v>91.98310089111328</v>
      </c>
      <c r="E4" s="0" t="n">
        <v>91.98310089111328</v>
      </c>
      <c r="F4" s="0" t="inlineStr"/>
      <c r="G4" s="0" t="inlineStr"/>
    </row>
    <row r="5" ht="19.2" customHeight="1" s="28">
      <c r="A5" s="36" t="n">
        <v>46174</v>
      </c>
      <c r="B5" s="0" t="n">
        <v>93.27849578857422</v>
      </c>
      <c r="C5" s="0" t="n">
        <v>93.27849578857422</v>
      </c>
      <c r="D5" s="0" t="n">
        <v>93.27849578857422</v>
      </c>
      <c r="E5" s="0" t="n">
        <v>93.27849578857422</v>
      </c>
      <c r="F5" s="0" t="inlineStr"/>
      <c r="G5" s="0" t="inlineStr"/>
    </row>
    <row r="6" ht="19.2" customHeight="1" s="28">
      <c r="A6" s="36" t="n">
        <v>46143</v>
      </c>
      <c r="B6" s="0" t="n">
        <v>93.04473114013672</v>
      </c>
      <c r="C6" s="0" t="n">
        <v>93.04473114013672</v>
      </c>
      <c r="D6" s="0" t="n">
        <v>93.04473114013672</v>
      </c>
      <c r="E6" s="0" t="n">
        <v>93.04473114013672</v>
      </c>
      <c r="F6" s="0" t="inlineStr"/>
      <c r="G6" s="0" t="inlineStr"/>
    </row>
    <row r="7" ht="19.2" customHeight="1" s="28">
      <c r="A7" s="36" t="n">
        <v>46113</v>
      </c>
      <c r="B7" s="0" t="n">
        <v>93.06243133544922</v>
      </c>
      <c r="C7" s="0" t="n">
        <v>93.06243133544922</v>
      </c>
      <c r="D7" s="0" t="n">
        <v>93.06243133544922</v>
      </c>
      <c r="E7" s="0" t="n">
        <v>93.06243133544922</v>
      </c>
      <c r="F7" s="0" t="inlineStr"/>
      <c r="G7" s="0" t="inlineStr"/>
    </row>
    <row r="8" ht="19.2" customHeight="1" s="28">
      <c r="A8" s="36" t="n">
        <v>46082</v>
      </c>
      <c r="B8" s="0" t="n">
        <v>93.20253753662109</v>
      </c>
      <c r="C8" s="0" t="n">
        <v>93.20253753662109</v>
      </c>
      <c r="D8" s="0" t="n">
        <v>93.20253753662109</v>
      </c>
      <c r="E8" s="0" t="n">
        <v>93.20253753662109</v>
      </c>
      <c r="F8" s="0" t="inlineStr"/>
      <c r="G8" s="0" t="inlineStr"/>
    </row>
    <row r="9" ht="19.2" customHeight="1" s="28">
      <c r="A9" s="36" t="n">
        <v>46054</v>
      </c>
      <c r="B9" s="0" t="n">
        <v>95.41637420654297</v>
      </c>
      <c r="C9" s="0" t="n">
        <v>95.41637420654297</v>
      </c>
      <c r="D9" s="0" t="n">
        <v>95.41637420654297</v>
      </c>
      <c r="E9" s="0" t="n">
        <v>95.41637420654297</v>
      </c>
      <c r="F9" s="0" t="inlineStr"/>
      <c r="G9" s="0" t="inlineStr"/>
    </row>
    <row r="10" ht="19.2" customHeight="1" s="28">
      <c r="A10" s="36" t="n">
        <v>46023</v>
      </c>
      <c r="B10" s="0" t="n">
        <v>93.11642456054688</v>
      </c>
      <c r="C10" s="0" t="n">
        <v>93.11642456054688</v>
      </c>
      <c r="D10" s="0" t="n">
        <v>93.11642456054688</v>
      </c>
      <c r="E10" s="0" t="n">
        <v>93.11642456054688</v>
      </c>
      <c r="F10" s="0" t="inlineStr"/>
      <c r="G10" s="0" t="inlineStr"/>
    </row>
    <row r="11" ht="19.2" customHeight="1" s="28">
      <c r="A11" s="36" t="n">
        <v>45992</v>
      </c>
      <c r="B11" s="0" t="n">
        <v>93.32994842529297</v>
      </c>
      <c r="C11" s="0" t="n">
        <v>93.32994842529297</v>
      </c>
      <c r="D11" s="0" t="n">
        <v>93.32994842529297</v>
      </c>
      <c r="E11" s="0" t="n">
        <v>93.32994842529297</v>
      </c>
      <c r="F11" s="0" t="inlineStr"/>
      <c r="G11" s="0" t="inlineStr"/>
    </row>
    <row r="12" ht="19.2" customHeight="1" s="28">
      <c r="A12" s="36" t="n">
        <v>45962</v>
      </c>
      <c r="B12" s="0" t="n">
        <v>94.04581451416016</v>
      </c>
      <c r="C12" s="0" t="n">
        <v>94.04581451416016</v>
      </c>
      <c r="D12" s="0" t="n">
        <v>94.04581451416016</v>
      </c>
      <c r="E12" s="0" t="n">
        <v>94.04581451416016</v>
      </c>
      <c r="F12" s="0" t="inlineStr"/>
      <c r="G12" s="0" t="inlineStr"/>
    </row>
    <row r="13" ht="19.2" customHeight="1" s="28">
      <c r="A13" s="36" t="n">
        <v>45931</v>
      </c>
      <c r="B13" s="0" t="n">
        <v>93.1256103515625</v>
      </c>
      <c r="C13" s="0" t="n">
        <v>93.1256103515625</v>
      </c>
      <c r="D13" s="0" t="n">
        <v>93.1256103515625</v>
      </c>
      <c r="E13" s="0" t="n">
        <v>93.1256103515625</v>
      </c>
      <c r="F13" s="0" t="inlineStr"/>
      <c r="G13" s="0" t="inlineStr"/>
    </row>
    <row r="14" ht="19.2" customHeight="1" s="28">
      <c r="A14" s="37" t="n">
        <v>45901</v>
      </c>
      <c r="B14" s="0" t="n">
        <v>92.46791839599609</v>
      </c>
      <c r="C14" s="0" t="n">
        <v>92.46791839599609</v>
      </c>
      <c r="D14" s="0" t="n">
        <v>92.46791839599609</v>
      </c>
      <c r="E14" s="0" t="n">
        <v>92.46791839599609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  <row r="51" ht="54" customHeight="1" s="28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:G29"/>
    </sheetView>
  </sheetViews>
  <sheetFormatPr baseColWidth="8" defaultColWidth="21.33203125" defaultRowHeight="16.2"/>
  <cols>
    <col width="13.44140625" bestFit="1" customWidth="1" style="28" min="1" max="1"/>
    <col width="6.88671875" bestFit="1" customWidth="1" style="28" min="2" max="5"/>
    <col width="10.109375" bestFit="1" customWidth="1" style="28" min="6" max="6"/>
    <col width="11.33203125" bestFit="1" customWidth="1" style="28" min="7" max="7"/>
    <col width="74.88671875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80.95899963378906</v>
      </c>
      <c r="C2" s="0" t="n">
        <v>80.95899963378906</v>
      </c>
      <c r="D2" s="0" t="n">
        <v>80.95899963378906</v>
      </c>
      <c r="E2" s="0" t="n">
        <v>80.95899963378906</v>
      </c>
      <c r="F2" s="0" t="inlineStr"/>
      <c r="G2" s="0" t="inlineStr"/>
    </row>
    <row r="3" ht="19.2" customHeight="1" s="28">
      <c r="A3" s="36" t="n">
        <v>46235</v>
      </c>
      <c r="B3" s="0" t="n">
        <v>81.40367889404297</v>
      </c>
      <c r="C3" s="0" t="n">
        <v>81.40367889404297</v>
      </c>
      <c r="D3" s="0" t="n">
        <v>81.40367889404297</v>
      </c>
      <c r="E3" s="0" t="n">
        <v>81.40367889404297</v>
      </c>
      <c r="F3" s="0" t="inlineStr"/>
      <c r="G3" s="0" t="inlineStr"/>
    </row>
    <row r="4" ht="19.2" customHeight="1" s="28">
      <c r="A4" s="36" t="n">
        <v>46204</v>
      </c>
      <c r="B4" s="0" t="n">
        <v>81.26351165771484</v>
      </c>
      <c r="C4" s="0" t="n">
        <v>81.26351165771484</v>
      </c>
      <c r="D4" s="0" t="n">
        <v>81.26351165771484</v>
      </c>
      <c r="E4" s="0" t="n">
        <v>81.26351165771484</v>
      </c>
      <c r="F4" s="0" t="inlineStr"/>
      <c r="G4" s="0" t="inlineStr"/>
    </row>
    <row r="5" ht="19.2" customHeight="1" s="28">
      <c r="A5" s="36" t="n">
        <v>46174</v>
      </c>
      <c r="B5" s="0" t="n">
        <v>81.13666534423828</v>
      </c>
      <c r="C5" s="0" t="n">
        <v>81.13666534423828</v>
      </c>
      <c r="D5" s="0" t="n">
        <v>81.13666534423828</v>
      </c>
      <c r="E5" s="0" t="n">
        <v>81.13666534423828</v>
      </c>
      <c r="F5" s="0" t="inlineStr"/>
      <c r="G5" s="0" t="inlineStr"/>
    </row>
    <row r="6" ht="19.2" customHeight="1" s="28">
      <c r="A6" s="36" t="n">
        <v>46143</v>
      </c>
      <c r="B6" s="0" t="n">
        <v>81.08428955078125</v>
      </c>
      <c r="C6" s="0" t="n">
        <v>81.08428955078125</v>
      </c>
      <c r="D6" s="0" t="n">
        <v>81.08428955078125</v>
      </c>
      <c r="E6" s="0" t="n">
        <v>81.08428955078125</v>
      </c>
      <c r="F6" s="0" t="inlineStr"/>
      <c r="G6" s="0" t="inlineStr"/>
    </row>
    <row r="7" ht="19.2" customHeight="1" s="28">
      <c r="A7" s="36" t="n">
        <v>46113</v>
      </c>
      <c r="B7" s="0" t="n">
        <v>81.022216796875</v>
      </c>
      <c r="C7" s="0" t="n">
        <v>81.022216796875</v>
      </c>
      <c r="D7" s="0" t="n">
        <v>81.022216796875</v>
      </c>
      <c r="E7" s="0" t="n">
        <v>81.022216796875</v>
      </c>
      <c r="F7" s="0" t="inlineStr"/>
      <c r="G7" s="0" t="inlineStr"/>
    </row>
    <row r="8" ht="19.2" customHeight="1" s="28">
      <c r="A8" s="36" t="n">
        <v>46082</v>
      </c>
      <c r="B8" s="0" t="n">
        <v>80.86798858642578</v>
      </c>
      <c r="C8" s="0" t="n">
        <v>80.86798858642578</v>
      </c>
      <c r="D8" s="0" t="n">
        <v>80.86798858642578</v>
      </c>
      <c r="E8" s="0" t="n">
        <v>80.86798858642578</v>
      </c>
      <c r="F8" s="0" t="inlineStr"/>
      <c r="G8" s="0" t="inlineStr"/>
    </row>
    <row r="9" ht="19.2" customHeight="1" s="28">
      <c r="A9" s="36" t="n">
        <v>46054</v>
      </c>
      <c r="B9" s="0" t="n">
        <v>81.24700164794922</v>
      </c>
      <c r="C9" s="0" t="n">
        <v>81.24700164794922</v>
      </c>
      <c r="D9" s="0" t="n">
        <v>81.24700164794922</v>
      </c>
      <c r="E9" s="0" t="n">
        <v>81.24700164794922</v>
      </c>
      <c r="F9" s="0" t="inlineStr"/>
      <c r="G9" s="0" t="inlineStr"/>
    </row>
    <row r="10" ht="19.2" customHeight="1" s="28">
      <c r="A10" s="36" t="n">
        <v>46023</v>
      </c>
      <c r="B10" s="0" t="n">
        <v>80.81723785400391</v>
      </c>
      <c r="C10" s="0" t="n">
        <v>80.81723785400391</v>
      </c>
      <c r="D10" s="0" t="n">
        <v>80.81723785400391</v>
      </c>
      <c r="E10" s="0" t="n">
        <v>80.81723785400391</v>
      </c>
      <c r="F10" s="0" t="inlineStr"/>
      <c r="G10" s="0" t="inlineStr"/>
    </row>
    <row r="11" ht="19.2" customHeight="1" s="28">
      <c r="A11" s="36" t="n">
        <v>45992</v>
      </c>
      <c r="B11" s="0" t="n">
        <v>80.65167999267578</v>
      </c>
      <c r="C11" s="0" t="n">
        <v>80.65167999267578</v>
      </c>
      <c r="D11" s="0" t="n">
        <v>80.65167999267578</v>
      </c>
      <c r="E11" s="0" t="n">
        <v>80.65167999267578</v>
      </c>
      <c r="F11" s="0" t="inlineStr"/>
      <c r="G11" s="0" t="inlineStr"/>
    </row>
    <row r="12" ht="19.2" customHeight="1" s="28">
      <c r="A12" s="36" t="n">
        <v>45962</v>
      </c>
      <c r="B12" s="0" t="n">
        <v>80.41466522216797</v>
      </c>
      <c r="C12" s="0" t="n">
        <v>80.41466522216797</v>
      </c>
      <c r="D12" s="0" t="n">
        <v>80.41466522216797</v>
      </c>
      <c r="E12" s="0" t="n">
        <v>80.41466522216797</v>
      </c>
      <c r="F12" s="0" t="inlineStr"/>
      <c r="G12" s="0" t="inlineStr"/>
    </row>
    <row r="13" ht="19.2" customHeight="1" s="28">
      <c r="A13" s="36" t="n">
        <v>45931</v>
      </c>
      <c r="B13" s="0" t="n">
        <v>80.06333160400391</v>
      </c>
      <c r="C13" s="0" t="n">
        <v>80.06333160400391</v>
      </c>
      <c r="D13" s="0" t="n">
        <v>80.06333160400391</v>
      </c>
      <c r="E13" s="0" t="n">
        <v>80.06333160400391</v>
      </c>
      <c r="F13" s="0" t="inlineStr"/>
      <c r="G13" s="0" t="inlineStr"/>
    </row>
    <row r="14" ht="19.2" customHeight="1" s="28">
      <c r="A14" s="37" t="n">
        <v>45901</v>
      </c>
      <c r="B14" s="0" t="n">
        <v>79.79702758789062</v>
      </c>
      <c r="C14" s="0" t="n">
        <v>79.79702758789062</v>
      </c>
      <c r="D14" s="0" t="n">
        <v>79.79702758789062</v>
      </c>
      <c r="E14" s="0" t="n">
        <v>79.79702758789062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I28" sqref="I28"/>
    </sheetView>
  </sheetViews>
  <sheetFormatPr baseColWidth="8" defaultColWidth="16.44140625" defaultRowHeight="16.2"/>
  <cols>
    <col width="14.6640625" bestFit="1" customWidth="1" style="28" min="1" max="1"/>
    <col width="8.109375" bestFit="1" customWidth="1" style="28" min="2" max="5"/>
    <col width="10.109375" bestFit="1" customWidth="1" style="28" min="6" max="6"/>
    <col width="11.33203125" bestFit="1" customWidth="1" style="28" min="7" max="7"/>
    <col width="74.88671875" bestFit="1" customWidth="1" style="28" min="17" max="17"/>
  </cols>
  <sheetData>
    <row r="1" ht="19.2" customHeight="1" s="28">
      <c r="A1" s="0" t="inlineStr">
        <is>
          <t>Date</t>
        </is>
      </c>
      <c r="B1" s="0" t="inlineStr">
        <is>
          <t>Price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Vol.</t>
        </is>
      </c>
      <c r="G1" s="0" t="inlineStr">
        <is>
          <t>Change %</t>
        </is>
      </c>
    </row>
    <row r="2" ht="19.2" customHeight="1" s="28">
      <c r="A2" s="36" t="n">
        <v>46266</v>
      </c>
      <c r="B2" s="0" t="n">
        <v>739.77001953125</v>
      </c>
      <c r="C2" s="0" t="n">
        <v>739.77001953125</v>
      </c>
      <c r="D2" s="0" t="n">
        <v>739.77001953125</v>
      </c>
      <c r="E2" s="0" t="n">
        <v>739.77001953125</v>
      </c>
      <c r="F2" s="0" t="inlineStr"/>
      <c r="G2" s="0" t="inlineStr"/>
    </row>
    <row r="3" ht="19.2" customHeight="1" s="28">
      <c r="A3" s="36" t="n">
        <v>46235</v>
      </c>
      <c r="B3" s="0" t="n">
        <v>716.013916015625</v>
      </c>
      <c r="C3" s="0" t="n">
        <v>716.013916015625</v>
      </c>
      <c r="D3" s="0" t="n">
        <v>716.013916015625</v>
      </c>
      <c r="E3" s="0" t="n">
        <v>716.013916015625</v>
      </c>
      <c r="F3" s="0" t="inlineStr"/>
      <c r="G3" s="0" t="inlineStr"/>
    </row>
    <row r="4" ht="19.2" customHeight="1" s="28">
      <c r="A4" s="36" t="n">
        <v>46204</v>
      </c>
      <c r="B4" s="0" t="n">
        <v>687.2738647460938</v>
      </c>
      <c r="C4" s="0" t="n">
        <v>687.2738647460938</v>
      </c>
      <c r="D4" s="0" t="n">
        <v>687.2738647460938</v>
      </c>
      <c r="E4" s="0" t="n">
        <v>687.2738647460938</v>
      </c>
      <c r="F4" s="0" t="inlineStr"/>
      <c r="G4" s="0" t="inlineStr"/>
    </row>
    <row r="5" ht="19.2" customHeight="1" s="28">
      <c r="A5" s="36" t="n">
        <v>46174</v>
      </c>
      <c r="B5" s="0" t="n">
        <v>735.6334838867188</v>
      </c>
      <c r="C5" s="0" t="n">
        <v>735.6334838867188</v>
      </c>
      <c r="D5" s="0" t="n">
        <v>735.6334838867188</v>
      </c>
      <c r="E5" s="0" t="n">
        <v>735.6334838867188</v>
      </c>
      <c r="F5" s="0" t="inlineStr"/>
      <c r="G5" s="0" t="inlineStr"/>
    </row>
    <row r="6" ht="19.2" customHeight="1" s="28">
      <c r="A6" s="36" t="n">
        <v>46143</v>
      </c>
      <c r="B6" s="0" t="n">
        <v>736.7318115234375</v>
      </c>
      <c r="C6" s="0" t="n">
        <v>736.7318115234375</v>
      </c>
      <c r="D6" s="0" t="n">
        <v>736.7318115234375</v>
      </c>
      <c r="E6" s="0" t="n">
        <v>736.7318115234375</v>
      </c>
      <c r="F6" s="0" t="inlineStr"/>
      <c r="G6" s="0" t="inlineStr"/>
    </row>
    <row r="7" ht="19.2" customHeight="1" s="28">
      <c r="A7" s="36" t="n">
        <v>46113</v>
      </c>
      <c r="B7" s="0" t="n">
        <v>666.3126831054688</v>
      </c>
      <c r="C7" s="0" t="n">
        <v>666.3126831054688</v>
      </c>
      <c r="D7" s="0" t="n">
        <v>666.3126831054688</v>
      </c>
      <c r="E7" s="0" t="n">
        <v>666.3126831054688</v>
      </c>
      <c r="F7" s="0" t="inlineStr"/>
      <c r="G7" s="0" t="inlineStr"/>
    </row>
    <row r="8" ht="19.2" customHeight="1" s="28">
      <c r="A8" s="36" t="n">
        <v>46082</v>
      </c>
      <c r="B8" s="0" t="n">
        <v>575.9462280273438</v>
      </c>
      <c r="C8" s="0" t="n">
        <v>575.9462280273438</v>
      </c>
      <c r="D8" s="0" t="n">
        <v>575.9462280273438</v>
      </c>
      <c r="E8" s="0" t="n">
        <v>575.9462280273438</v>
      </c>
      <c r="F8" s="0" t="inlineStr"/>
      <c r="G8" s="0" t="inlineStr"/>
    </row>
    <row r="9" ht="19.2" customHeight="1" s="28">
      <c r="A9" s="36" t="n">
        <v>46054</v>
      </c>
      <c r="B9" s="0" t="n">
        <v>605.228759765625</v>
      </c>
      <c r="C9" s="0" t="n">
        <v>605.228759765625</v>
      </c>
      <c r="D9" s="0" t="n">
        <v>605.228759765625</v>
      </c>
      <c r="E9" s="0" t="n">
        <v>605.228759765625</v>
      </c>
      <c r="F9" s="0" t="inlineStr"/>
      <c r="G9" s="0" t="inlineStr"/>
    </row>
    <row r="10" ht="19.2" customHeight="1" s="28">
      <c r="A10" s="36" t="n">
        <v>46023</v>
      </c>
      <c r="B10" s="0" t="n">
        <v>619.75927734375</v>
      </c>
      <c r="C10" s="0" t="n">
        <v>619.75927734375</v>
      </c>
      <c r="D10" s="0" t="n">
        <v>619.75927734375</v>
      </c>
      <c r="E10" s="0" t="n">
        <v>619.75927734375</v>
      </c>
      <c r="F10" s="0" t="inlineStr"/>
      <c r="G10" s="0" t="inlineStr"/>
    </row>
    <row r="11" ht="19.2" customHeight="1" s="28">
      <c r="A11" s="36" t="n">
        <v>45992</v>
      </c>
      <c r="B11" s="0" t="n">
        <v>612.2249145507812</v>
      </c>
      <c r="C11" s="0" t="n">
        <v>612.2249145507812</v>
      </c>
      <c r="D11" s="0" t="n">
        <v>612.2249145507812</v>
      </c>
      <c r="E11" s="0" t="n">
        <v>612.2249145507812</v>
      </c>
      <c r="F11" s="0" t="inlineStr"/>
      <c r="G11" s="0" t="inlineStr"/>
    </row>
    <row r="12" ht="19.2" customHeight="1" s="28">
      <c r="A12" s="36" t="n">
        <v>45962</v>
      </c>
      <c r="B12" s="0" t="n">
        <v>616.35400390625</v>
      </c>
      <c r="C12" s="0" t="n">
        <v>616.35400390625</v>
      </c>
      <c r="D12" s="0" t="n">
        <v>616.35400390625</v>
      </c>
      <c r="E12" s="0" t="n">
        <v>616.35400390625</v>
      </c>
      <c r="F12" s="0" t="inlineStr"/>
      <c r="G12" s="0" t="inlineStr"/>
    </row>
    <row r="13" ht="19.2" customHeight="1" s="28">
      <c r="A13" s="36" t="n">
        <v>45931</v>
      </c>
      <c r="B13" s="0" t="n">
        <v>626.128173828125</v>
      </c>
      <c r="C13" s="0" t="n">
        <v>626.128173828125</v>
      </c>
      <c r="D13" s="0" t="n">
        <v>626.128173828125</v>
      </c>
      <c r="E13" s="0" t="n">
        <v>626.128173828125</v>
      </c>
      <c r="F13" s="0" t="inlineStr"/>
      <c r="G13" s="0" t="inlineStr"/>
    </row>
    <row r="14" ht="19.2" customHeight="1" s="28">
      <c r="A14" s="37" t="n">
        <v>45901</v>
      </c>
      <c r="B14" s="0" t="n">
        <v>597.5623779296875</v>
      </c>
      <c r="C14" s="0" t="n">
        <v>597.5623779296875</v>
      </c>
      <c r="D14" s="0" t="n">
        <v>597.5623779296875</v>
      </c>
      <c r="E14" s="0" t="n">
        <v>597.5623779296875</v>
      </c>
      <c r="F14" s="0" t="inlineStr"/>
      <c r="G14" s="0" t="inlineStr"/>
    </row>
    <row r="15" ht="19.2" customHeight="1" s="28"/>
    <row r="16" ht="19.2" customHeight="1" s="28"/>
    <row r="17" ht="19.2" customHeight="1" s="28"/>
    <row r="18" ht="19.2" customHeight="1" s="28"/>
    <row r="19" ht="19.2" customHeight="1" s="28"/>
    <row r="20" ht="19.2" customHeight="1" s="28"/>
    <row r="21" ht="19.2" customHeight="1" s="28"/>
    <row r="22" ht="19.2" customHeight="1" s="28"/>
    <row r="23" ht="19.2" customHeight="1" s="28"/>
    <row r="24" ht="19.2" customHeight="1" s="28"/>
    <row r="25" ht="19.2" customHeight="1" s="28"/>
    <row r="35" ht="16.8" customHeight="1" s="28" thickBot="1"/>
    <row r="36" ht="48.6" customHeight="1" s="28"/>
    <row r="52" ht="54" customHeight="1" s="2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偉誠 呂</dc:creator>
  <dcterms:created xsi:type="dcterms:W3CDTF">2024-01-09T08:51:09Z</dcterms:created>
  <dcterms:modified xsi:type="dcterms:W3CDTF">2026-10-02T18:12:38Z</dcterms:modified>
  <cp:lastModifiedBy>偉誠 呂</cp:lastModifiedBy>
</cp:coreProperties>
</file>